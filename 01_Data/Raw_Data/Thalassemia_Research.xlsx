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6" activeTab="6" autoFilterDateGrouping="1"/>
  </bookViews>
  <sheets>
    <sheet xmlns:r="http://schemas.openxmlformats.org/officeDocument/2006/relationships" name="Thalassemia Research Questio..." sheetId="1" state="visible" r:id="rId1"/>
    <sheet xmlns:r="http://schemas.openxmlformats.org/officeDocument/2006/relationships" name="A_Demographics" sheetId="2" state="visible" r:id="rId2"/>
    <sheet xmlns:r="http://schemas.openxmlformats.org/officeDocument/2006/relationships" name="B_Knowledge" sheetId="3" state="visible" r:id="rId3"/>
    <sheet xmlns:r="http://schemas.openxmlformats.org/officeDocument/2006/relationships" name="C_Marriage_Partner" sheetId="4" state="visible" r:id="rId4"/>
    <sheet xmlns:r="http://schemas.openxmlformats.org/officeDocument/2006/relationships" name="D_Family_Screening" sheetId="5" state="visible" r:id="rId5"/>
    <sheet xmlns:r="http://schemas.openxmlformats.org/officeDocument/2006/relationships" name="E_ChiSquare_Analysis" sheetId="6" state="visible" r:id="rId6"/>
    <sheet xmlns:r="http://schemas.openxmlformats.org/officeDocument/2006/relationships" name="F_ChiSquare_Full" sheetId="7" state="visible" r:id="rId7"/>
    <sheet xmlns:r="http://schemas.openxmlformats.org/officeDocument/2006/relationships" name="G_Fisher_Exact_Test" sheetId="8" state="visible" r:id="rId8"/>
    <sheet xmlns:r="http://schemas.openxmlformats.org/officeDocument/2006/relationships" name="H_TTest_MannWhitney" sheetId="9" state="visible" r:id="rId9"/>
    <sheet xmlns:r="http://schemas.openxmlformats.org/officeDocument/2006/relationships" name="I_ANOVA_KruskalWallis" sheetId="10" state="visible" r:id="rId10"/>
  </sheets>
  <definedNames/>
  <calcPr calcId="191028" fullCalcOnLoad="1"/>
</workbook>
</file>

<file path=xl/styles.xml><?xml version="1.0" encoding="utf-8"?>
<styleSheet xmlns="http://schemas.openxmlformats.org/spreadsheetml/2006/main">
  <numFmts count="3">
    <numFmt numFmtId="164" formatCode="yyyy\-mm\-dd"/>
    <numFmt numFmtId="165" formatCode="0.0000"/>
    <numFmt numFmtId="166" formatCode="0.000"/>
  </numFmts>
  <fonts count="18">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color rgb="FFFFFFFF"/>
      <sz val="11"/>
      <scheme val="minor"/>
    </font>
    <font>
      <name val="Calibri"/>
      <family val="2"/>
      <b val="1"/>
      <color theme="1"/>
      <sz val="12"/>
      <scheme val="minor"/>
    </font>
    <font>
      <name val="Calibri"/>
      <family val="2"/>
      <b val="1"/>
      <color rgb="FFFFFFFF"/>
      <sz val="12"/>
      <scheme val="minor"/>
    </font>
    <font>
      <name val="Calibri"/>
      <family val="2"/>
      <i val="1"/>
      <color theme="1"/>
      <sz val="11"/>
      <scheme val="minor"/>
    </font>
    <font>
      <name val="Calibri"/>
      <family val="2"/>
      <b val="1"/>
      <color theme="1"/>
      <sz val="16"/>
      <scheme val="minor"/>
    </font>
    <font>
      <name val="Calibri"/>
      <family val="2"/>
      <b val="1"/>
      <color rgb="FF1F4E79"/>
      <sz val="16"/>
      <scheme val="minor"/>
    </font>
    <font>
      <name val="Calibri"/>
      <family val="2"/>
      <i val="1"/>
      <color theme="1"/>
      <sz val="12"/>
      <scheme val="minor"/>
    </font>
    <font>
      <name val="Calibri"/>
      <family val="2"/>
      <b val="1"/>
      <color rgb="FF006100"/>
      <sz val="11"/>
      <scheme val="minor"/>
    </font>
    <font>
      <name val="Calibri"/>
      <family val="2"/>
      <b val="1"/>
      <color rgb="FF1F4E79"/>
      <sz val="14"/>
      <scheme val="minor"/>
    </font>
    <font>
      <name val="Calibri"/>
      <family val="2"/>
      <b val="1"/>
      <color rgb="FF006100"/>
      <sz val="12"/>
      <scheme val="minor"/>
    </font>
    <font>
      <name val="Calibri"/>
      <family val="2"/>
      <b val="1"/>
      <color rgb="FFFFFFFF"/>
      <sz val="14"/>
      <scheme val="minor"/>
    </font>
    <font>
      <name val="Calibri"/>
      <family val="2"/>
      <b val="1"/>
      <color rgb="FFFFFFFF"/>
      <sz val="16"/>
      <scheme val="minor"/>
    </font>
    <font>
      <name val="Calibri"/>
      <family val="2"/>
      <b val="1"/>
      <color rgb="FF006600"/>
      <sz val="11"/>
      <scheme val="minor"/>
    </font>
    <font>
      <name val="Calibri"/>
      <family val="2"/>
      <b val="1"/>
      <color rgb="FFC00000"/>
      <sz val="11"/>
      <scheme val="minor"/>
    </font>
    <font>
      <name val="Calibri"/>
      <family val="2"/>
      <i val="1"/>
      <color theme="1"/>
      <sz val="9"/>
      <scheme val="minor"/>
    </font>
  </fonts>
  <fills count="24">
    <fill>
      <patternFill/>
    </fill>
    <fill>
      <patternFill patternType="gray125"/>
    </fill>
    <fill>
      <patternFill patternType="solid">
        <fgColor rgb="FF4472C4"/>
        <bgColor indexed="64"/>
      </patternFill>
    </fill>
    <fill>
      <patternFill patternType="solid">
        <fgColor rgb="FFD9E2F3"/>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70AD47"/>
        <bgColor indexed="64"/>
      </patternFill>
    </fill>
    <fill>
      <patternFill patternType="solid">
        <fgColor rgb="FFFF9800"/>
        <bgColor indexed="64"/>
      </patternFill>
    </fill>
    <fill>
      <patternFill patternType="solid">
        <fgColor rgb="FF1F4E79"/>
        <bgColor indexed="64"/>
      </patternFill>
    </fill>
    <fill>
      <patternFill patternType="solid">
        <fgColor rgb="FFC6EFCE"/>
        <bgColor indexed="64"/>
      </patternFill>
    </fill>
    <fill>
      <patternFill patternType="solid">
        <fgColor rgb="FF006100"/>
        <bgColor indexed="64"/>
      </patternFill>
    </fill>
    <fill>
      <patternFill patternType="solid">
        <fgColor rgb="FF2E75B6"/>
        <bgColor indexed="64"/>
      </patternFill>
    </fill>
    <fill>
      <patternFill patternType="solid">
        <fgColor rgb="FFBDD7EE"/>
        <bgColor indexed="64"/>
      </patternFill>
    </fill>
    <fill>
      <patternFill patternType="solid">
        <fgColor rgb="FFD6DCE5"/>
        <bgColor indexed="64"/>
      </patternFill>
    </fill>
    <fill>
      <patternFill patternType="solid">
        <fgColor rgb="FFFFC000"/>
        <bgColor indexed="64"/>
      </patternFill>
    </fill>
    <fill>
      <patternFill patternType="solid">
        <fgColor rgb="FFED7D31"/>
        <bgColor indexed="64"/>
      </patternFill>
    </fill>
    <fill>
      <patternFill patternType="solid">
        <fgColor rgb="FF5B9BD5"/>
        <bgColor indexed="64"/>
      </patternFill>
    </fill>
    <fill>
      <patternFill patternType="solid">
        <fgColor rgb="FFDDEBF7"/>
        <bgColor indexed="64"/>
      </patternFill>
    </fill>
    <fill>
      <patternFill patternType="solid">
        <fgColor rgb="FF7030A0"/>
        <bgColor indexed="64"/>
      </patternFill>
    </fill>
    <fill>
      <patternFill patternType="solid">
        <fgColor rgb="FFE2D0F4"/>
        <bgColor indexed="64"/>
      </patternFill>
    </fill>
    <fill>
      <patternFill patternType="solid">
        <fgColor rgb="FF203864"/>
        <bgColor indexed="64"/>
      </patternFill>
    </fill>
    <fill>
      <patternFill patternType="solid">
        <fgColor rgb="FFC00000"/>
        <bgColor indexed="64"/>
      </patternFill>
    </fill>
    <fill>
      <patternFill patternType="solid">
        <fgColor rgb="FFFFC7CE"/>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9">
    <xf numFmtId="0" fontId="0" fillId="0" borderId="0" pivotButton="0" quotePrefix="0" xfId="0"/>
    <xf numFmtId="164" fontId="0" fillId="0" borderId="0" pivotButton="0" quotePrefix="0" xfId="0"/>
    <xf numFmtId="0" fontId="1" fillId="0" borderId="0" pivotButton="0" quotePrefix="0" xfId="0"/>
    <xf numFmtId="0" fontId="2" fillId="0" borderId="0" pivotButton="0" quotePrefix="0" xfId="0"/>
    <xf numFmtId="10" fontId="0" fillId="0" borderId="0" pivotButton="0" quotePrefix="0" xfId="0"/>
    <xf numFmtId="0" fontId="3"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165" fontId="0" fillId="0" borderId="0" pivotButton="0" quotePrefix="0" xfId="0"/>
    <xf numFmtId="0" fontId="4" fillId="0" borderId="0" pivotButton="0" quotePrefix="0" xfId="0"/>
    <xf numFmtId="0" fontId="5" fillId="2" borderId="0" pivotButton="0" quotePrefix="0" xfId="0"/>
    <xf numFmtId="0" fontId="5" fillId="7" borderId="0" pivotButton="0" quotePrefix="0" xfId="0"/>
    <xf numFmtId="0" fontId="3" fillId="8" borderId="0" pivotButton="0" quotePrefix="0" xfId="0"/>
    <xf numFmtId="2"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3" fillId="9" borderId="0" pivotButton="0" quotePrefix="0" xfId="0"/>
    <xf numFmtId="0" fontId="0" fillId="10" borderId="0" pivotButton="0" quotePrefix="0" xfId="0"/>
    <xf numFmtId="0" fontId="0" fillId="0" borderId="2" pivotButton="0" quotePrefix="0" xfId="0"/>
    <xf numFmtId="0" fontId="0" fillId="10" borderId="2" pivotButton="0" quotePrefix="0" xfId="0"/>
    <xf numFmtId="0" fontId="0" fillId="0" borderId="1" pivotButton="0" quotePrefix="0" xfId="0"/>
    <xf numFmtId="0" fontId="0" fillId="10" borderId="1" pivotButton="0" quotePrefix="0" xfId="0"/>
    <xf numFmtId="0" fontId="10" fillId="10" borderId="1" pivotButton="0" quotePrefix="0" xfId="0"/>
    <xf numFmtId="0" fontId="11" fillId="0" borderId="0" pivotButton="0" quotePrefix="0" xfId="0"/>
    <xf numFmtId="0" fontId="12" fillId="10" borderId="0" pivotButton="0" quotePrefix="0" xfId="0"/>
    <xf numFmtId="0" fontId="3" fillId="11" borderId="1" pivotButton="0" quotePrefix="0" xfId="0"/>
    <xf numFmtId="0" fontId="0" fillId="4" borderId="1" pivotButton="0" quotePrefix="0" xfId="0"/>
    <xf numFmtId="0" fontId="1" fillId="4" borderId="1" pivotButton="0" quotePrefix="0" xfId="0"/>
    <xf numFmtId="0" fontId="13" fillId="12" borderId="0" pivotButton="0" quotePrefix="0" xfId="0"/>
    <xf numFmtId="0" fontId="13" fillId="9" borderId="0" pivotButton="0" quotePrefix="0" xfId="0"/>
    <xf numFmtId="0" fontId="1" fillId="13" borderId="0" pivotButton="0" quotePrefix="0" xfId="0"/>
    <xf numFmtId="0" fontId="4" fillId="10" borderId="0" pivotButton="0" quotePrefix="0" xfId="0"/>
    <xf numFmtId="0" fontId="1" fillId="3" borderId="1" pivotButton="0" quotePrefix="0" xfId="0"/>
    <xf numFmtId="166" fontId="0" fillId="0" borderId="1" pivotButton="0" quotePrefix="0" xfId="0"/>
    <xf numFmtId="165" fontId="0" fillId="0" borderId="1" pivotButton="0" quotePrefix="0" xfId="0"/>
    <xf numFmtId="166" fontId="0" fillId="10" borderId="1" pivotButton="0" quotePrefix="0" xfId="0"/>
    <xf numFmtId="165" fontId="0" fillId="10" borderId="1" pivotButton="0" quotePrefix="0" xfId="0"/>
    <xf numFmtId="0" fontId="1" fillId="14" borderId="0" pivotButton="0" quotePrefix="0" xfId="0"/>
    <xf numFmtId="0" fontId="1" fillId="14" borderId="1" pivotButton="0" quotePrefix="0" xfId="0"/>
    <xf numFmtId="0" fontId="13" fillId="7" borderId="0" pivotButton="0" quotePrefix="0" xfId="0"/>
    <xf numFmtId="2" fontId="0" fillId="0" borderId="1" pivotButton="0" quotePrefix="0" xfId="0"/>
    <xf numFmtId="1" fontId="0" fillId="0" borderId="1" pivotButton="0" quotePrefix="0" xfId="0"/>
    <xf numFmtId="0" fontId="1" fillId="18" borderId="0" pivotButton="0" quotePrefix="0" xfId="0"/>
    <xf numFmtId="0" fontId="1" fillId="20" borderId="0" pivotButton="0" quotePrefix="0" xfId="0"/>
    <xf numFmtId="0" fontId="13" fillId="2" borderId="0" pivotButton="0" quotePrefix="0" xfId="0"/>
    <xf numFmtId="0" fontId="1" fillId="10" borderId="1" pivotButton="0" quotePrefix="0" xfId="0"/>
    <xf numFmtId="0" fontId="1" fillId="0" borderId="1" pivotButton="0" quotePrefix="0" xfId="0"/>
    <xf numFmtId="0" fontId="1" fillId="23" borderId="1" pivotButton="0" quotePrefix="0" xfId="0"/>
    <xf numFmtId="165" fontId="1" fillId="23" borderId="1" pivotButton="0" quotePrefix="0" xfId="0"/>
    <xf numFmtId="0" fontId="3" fillId="2" borderId="1" pivotButton="0" quotePrefix="0" xfId="0"/>
    <xf numFmtId="0" fontId="15" fillId="0" borderId="0" pivotButton="0" quotePrefix="0" xfId="0"/>
    <xf numFmtId="0" fontId="1" fillId="6" borderId="2" pivotButton="0" quotePrefix="0" xfId="0"/>
    <xf numFmtId="0" fontId="1" fillId="6" borderId="1" pivotButton="0" quotePrefix="0" xfId="0"/>
    <xf numFmtId="0" fontId="16" fillId="0" borderId="0" pivotButton="0" quotePrefix="0" xfId="0"/>
    <xf numFmtId="0" fontId="16" fillId="10" borderId="0" pivotButton="0" quotePrefix="0" xfId="0"/>
    <xf numFmtId="0" fontId="17" fillId="0" borderId="0" pivotButton="0" quotePrefix="0" xfId="0"/>
    <xf numFmtId="9" fontId="0" fillId="0" borderId="0" pivotButton="0" quotePrefix="0" xfId="0"/>
    <xf numFmtId="0" fontId="0" fillId="0" borderId="0" pivotButton="0" quotePrefix="0" xfId="0"/>
    <xf numFmtId="0" fontId="7" fillId="0" borderId="0" pivotButton="0" quotePrefix="0" xfId="0"/>
    <xf numFmtId="0" fontId="6" fillId="0" borderId="0" pivotButton="0" quotePrefix="0" xfId="0"/>
    <xf numFmtId="0" fontId="5" fillId="2" borderId="0" pivotButton="0" quotePrefix="0" xfId="0"/>
    <xf numFmtId="0" fontId="4" fillId="0" borderId="0" pivotButton="0" quotePrefix="0" xfId="0"/>
    <xf numFmtId="0" fontId="13" fillId="7" borderId="0" pivotButton="0" quotePrefix="0" xfId="0"/>
    <xf numFmtId="0" fontId="4" fillId="15" borderId="0" pivotButton="0" quotePrefix="0" xfId="0"/>
    <xf numFmtId="0" fontId="5" fillId="16" borderId="0" pivotButton="0" quotePrefix="0" xfId="0"/>
    <xf numFmtId="0" fontId="13" fillId="17" borderId="0" pivotButton="0" quotePrefix="0" xfId="0"/>
    <xf numFmtId="0" fontId="3" fillId="16" borderId="0" pivotButton="0" quotePrefix="0" xfId="0"/>
    <xf numFmtId="0" fontId="13" fillId="19" borderId="0" pivotButton="0" quotePrefix="0" xfId="0"/>
    <xf numFmtId="0" fontId="1" fillId="15" borderId="0" pivotButton="0" quotePrefix="0" xfId="0"/>
    <xf numFmtId="0" fontId="14" fillId="21" borderId="0" pivotButton="0" quotePrefix="0" xfId="0"/>
    <xf numFmtId="0" fontId="5" fillId="7" borderId="0" pivotButton="0" quotePrefix="0" xfId="0"/>
    <xf numFmtId="0" fontId="5" fillId="17" borderId="0" pivotButton="0" quotePrefix="0" xfId="0"/>
    <xf numFmtId="0" fontId="5" fillId="19" borderId="0" pivotButton="0" quotePrefix="0" xfId="0"/>
    <xf numFmtId="0" fontId="14" fillId="22" borderId="0" pivotButton="0" quotePrefix="0" xfId="0"/>
    <xf numFmtId="0" fontId="13" fillId="2" borderId="0" pivotButton="0" quotePrefix="0" xfId="0"/>
  </cellXfs>
  <cellStyles count="1">
    <cellStyle name="Normal" xfId="0" builtinId="0"/>
  </cellStyles>
  <dxfs count="24">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
      <numFmt numFmtId="14" formatCode="0.00%"/>
    </dxf>
    <dxf>
      <font>
        <name val="Calibri"/>
        <family val="2"/>
        <b val="1"/>
        <strike val="0"/>
        <outline val="0"/>
        <shadow val="0"/>
        <condense val="0"/>
        <color theme="1"/>
        <extend val="0"/>
        <sz val="11"/>
        <vertAlign val="baseline"/>
        <scheme val="minor"/>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Age Group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A_Demographics!$B$12</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A_Demographics!$A$13:$A$17</f>
              <strCache>
                <ptCount val="5"/>
                <pt idx="0">
                  <v>18-24</v>
                </pt>
                <pt idx="1">
                  <v>25-34</v>
                </pt>
                <pt idx="2">
                  <v>35-44</v>
                </pt>
                <pt idx="3">
                  <v>45-54</v>
                </pt>
                <pt idx="4">
                  <v>55+</v>
                </pt>
              </strCache>
            </strRef>
          </cat>
          <val>
            <numRef>
              <f>A_Demographics!$B$13:$B$17</f>
              <numCache>
                <formatCode>General</formatCode>
                <ptCount val="5"/>
                <pt idx="0">
                  <v>73</v>
                </pt>
                <pt idx="1">
                  <v>78</v>
                </pt>
                <pt idx="2">
                  <v>28</v>
                </pt>
                <pt idx="3">
                  <v>15</v>
                </pt>
                <pt idx="4">
                  <v>7</v>
                </pt>
              </numCache>
            </numRef>
          </val>
        </ser>
        <dLbls>
          <showLegendKey val="0"/>
          <showVal val="0"/>
          <showCatName val="0"/>
          <showSerName val="0"/>
          <showPercent val="0"/>
          <showBubbleSize val="0"/>
        </dLbls>
        <gapWidth val="219"/>
        <overlap val="-27"/>
        <axId val="1027242112"/>
        <axId val="1027239232"/>
      </barChart>
      <catAx>
        <axId val="102724211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27239232"/>
        <crosses val="autoZero"/>
        <auto val="1"/>
        <lblAlgn val="ctr"/>
        <lblOffset val="100"/>
        <noMultiLvlLbl val="0"/>
      </catAx>
      <valAx>
        <axId val="10272392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2724211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Gender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A_Demographics!$B$21</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A_Demographics!$A$22:$A$24</f>
              <strCache>
                <ptCount val="3"/>
                <pt idx="0">
                  <v>Female</v>
                </pt>
                <pt idx="1">
                  <v>Male</v>
                </pt>
                <pt idx="2">
                  <v>(Missing)</v>
                </pt>
              </strCache>
            </strRef>
          </cat>
          <val>
            <numRef>
              <f>A_Demographics!$B$22:$B$24</f>
              <numCache>
                <formatCode>General</formatCode>
                <ptCount val="3"/>
                <pt idx="0">
                  <v>115</v>
                </pt>
                <pt idx="1">
                  <v>85</v>
                </pt>
                <pt idx="2">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Ethnicity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A_Demographics!$B$28</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A_Demographics!$A$29:$A$31</f>
              <strCache>
                <ptCount val="3"/>
                <pt idx="0">
                  <v>Sinhalese</v>
                </pt>
                <pt idx="1">
                  <v>Tamil</v>
                </pt>
                <pt idx="2">
                  <v>(Missing)</v>
                </pt>
              </strCache>
            </strRef>
          </cat>
          <val>
            <numRef>
              <f>A_Demographics!$B$29:$B$31</f>
              <numCache>
                <formatCode>General</formatCode>
                <ptCount val="3"/>
                <pt idx="0">
                  <v>195</v>
                </pt>
                <pt idx="1">
                  <v>5</v>
                </pt>
                <pt idx="2">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Religion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A_Demographics!$B$35</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A_Demographics!$A$36:$A$40</f>
              <strCache>
                <ptCount val="5"/>
                <pt idx="0">
                  <v>Buddhist</v>
                </pt>
                <pt idx="1">
                  <v>Roman Catholic</v>
                </pt>
                <pt idx="2">
                  <v>Christian</v>
                </pt>
                <pt idx="3">
                  <v>Hindu</v>
                </pt>
                <pt idx="4">
                  <v>(Missing)</v>
                </pt>
              </strCache>
            </strRef>
          </cat>
          <val>
            <numRef>
              <f>A_Demographics!$B$36:$B$40</f>
              <numCache>
                <formatCode>General</formatCode>
                <ptCount val="5"/>
                <pt idx="0">
                  <v>176</v>
                </pt>
                <pt idx="1">
                  <v>13</v>
                </pt>
                <pt idx="2">
                  <v>6</v>
                </pt>
                <pt idx="3">
                  <v>5</v>
                </pt>
                <pt idx="4">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Occupation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A_Demographics!$B$44</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A_Demographics!$A$45:$A$49</f>
              <strCache>
                <ptCount val="5"/>
                <pt idx="0">
                  <v>Government sector</v>
                </pt>
                <pt idx="1">
                  <v>Private sector</v>
                </pt>
                <pt idx="2">
                  <v>Self-employed</v>
                </pt>
                <pt idx="3">
                  <v>Not employed</v>
                </pt>
                <pt idx="4">
                  <v>(Missing)</v>
                </pt>
              </strCache>
            </strRef>
          </cat>
          <val>
            <numRef>
              <f>A_Demographics!$B$45:$B$49</f>
              <numCache>
                <formatCode>General</formatCode>
                <ptCount val="5"/>
                <pt idx="0">
                  <v>48</v>
                </pt>
                <pt idx="1">
                  <v>66</v>
                </pt>
                <pt idx="2">
                  <v>8</v>
                </pt>
                <pt idx="3">
                  <v>76</v>
                </pt>
                <pt idx="4">
                  <v>3</v>
                </pt>
              </numCache>
            </numRef>
          </val>
        </ser>
        <dLbls>
          <showLegendKey val="0"/>
          <showVal val="0"/>
          <showCatName val="0"/>
          <showSerName val="0"/>
          <showPercent val="0"/>
          <showBubbleSize val="0"/>
        </dLbls>
        <gapWidth val="182"/>
        <axId val="1172538719"/>
        <axId val="1172539199"/>
      </barChart>
      <catAx>
        <axId val="1172538719"/>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2539199"/>
        <crosses val="autoZero"/>
        <auto val="1"/>
        <lblAlgn val="ctr"/>
        <lblOffset val="100"/>
        <noMultiLvlLbl val="0"/>
      </catAx>
      <valAx>
        <axId val="1172539199"/>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253871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Monthly Income Distribution (LKR)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A_Demographics!$B$53</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A_Demographics!$A$54:$A$58</f>
              <strCache>
                <ptCount val="5"/>
                <pt idx="0">
                  <v>&gt; 100,000</v>
                </pt>
                <pt idx="1">
                  <v>51,000 – 100,000</v>
                </pt>
                <pt idx="2">
                  <v>25,000 – 50,000</v>
                </pt>
                <pt idx="3">
                  <v>&lt; 25,000</v>
                </pt>
                <pt idx="4">
                  <v>(Missing)</v>
                </pt>
              </strCache>
            </strRef>
          </cat>
          <val>
            <numRef>
              <f>A_Demographics!$B$54:$B$58</f>
              <numCache>
                <formatCode>General</formatCode>
                <ptCount val="5"/>
                <pt idx="0">
                  <v>14</v>
                </pt>
                <pt idx="1">
                  <v>66</v>
                </pt>
                <pt idx="2">
                  <v>42</v>
                </pt>
                <pt idx="3">
                  <v>5</v>
                </pt>
                <pt idx="4">
                  <v>74</v>
                </pt>
              </numCache>
            </numRef>
          </val>
        </ser>
        <dLbls>
          <showLegendKey val="0"/>
          <showVal val="0"/>
          <showCatName val="0"/>
          <showSerName val="0"/>
          <showPercent val="0"/>
          <showBubbleSize val="0"/>
        </dLbls>
        <gapWidth val="182"/>
        <axId val="942711920"/>
        <axId val="942717680"/>
      </barChart>
      <catAx>
        <axId val="94271192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42717680"/>
        <crosses val="autoZero"/>
        <auto val="1"/>
        <lblAlgn val="ctr"/>
        <lblOffset val="100"/>
        <noMultiLvlLbl val="0"/>
      </catAx>
      <valAx>
        <axId val="9427176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4271192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Education Level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A_Demographics!$B$62</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A_Demographics!$A$63:$A$67</f>
              <strCache>
                <ptCount val="5"/>
                <pt idx="0">
                  <v>Graduate</v>
                </pt>
                <pt idx="1">
                  <v>Up to A/L</v>
                </pt>
                <pt idx="2">
                  <v>Up to O/L</v>
                </pt>
                <pt idx="3">
                  <v>Undergraduate</v>
                </pt>
                <pt idx="4">
                  <v>(Missing)</v>
                </pt>
              </strCache>
            </strRef>
          </cat>
          <val>
            <numRef>
              <f>A_Demographics!$B$63:$B$67</f>
              <numCache>
                <formatCode>General</formatCode>
                <ptCount val="5"/>
                <pt idx="0">
                  <v>36</v>
                </pt>
                <pt idx="1">
                  <v>83</v>
                </pt>
                <pt idx="2">
                  <v>37</v>
                </pt>
                <pt idx="3">
                  <v>43</v>
                </pt>
                <pt idx="4">
                  <v>2</v>
                </pt>
              </numCache>
            </numRef>
          </val>
        </ser>
        <dLbls>
          <showLegendKey val="0"/>
          <showVal val="0"/>
          <showCatName val="0"/>
          <showSerName val="0"/>
          <showPercent val="0"/>
          <showBubbleSize val="0"/>
        </dLbls>
        <gapWidth val="182"/>
        <axId val="1029392704"/>
        <axId val="1173748015"/>
      </barChart>
      <catAx>
        <axId val="1029392704"/>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3748015"/>
        <crosses val="autoZero"/>
        <auto val="1"/>
        <lblAlgn val="ctr"/>
        <lblOffset val="100"/>
        <noMultiLvlLbl val="0"/>
      </catAx>
      <valAx>
        <axId val="117374801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2939270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Residing Province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A_Demographics!$B$71</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A_Demographics!$A$72:$A$80</f>
              <strCache>
                <ptCount val="9"/>
                <pt idx="0">
                  <v>Western</v>
                </pt>
                <pt idx="1">
                  <v>North Western</v>
                </pt>
                <pt idx="2">
                  <v>Uva</v>
                </pt>
                <pt idx="3">
                  <v>Central</v>
                </pt>
                <pt idx="4">
                  <v>Southern</v>
                </pt>
                <pt idx="5">
                  <v>Sabaragamuwa</v>
                </pt>
                <pt idx="6">
                  <v>Eastern</v>
                </pt>
                <pt idx="7">
                  <v>North Central</v>
                </pt>
                <pt idx="8">
                  <v>Northern</v>
                </pt>
              </strCache>
            </strRef>
          </cat>
          <val>
            <numRef>
              <f>A_Demographics!$B$72:$B$80</f>
              <numCache>
                <formatCode>General</formatCode>
                <ptCount val="9"/>
                <pt idx="0">
                  <v>120</v>
                </pt>
                <pt idx="1">
                  <v>41</v>
                </pt>
                <pt idx="2">
                  <v>4</v>
                </pt>
                <pt idx="3">
                  <v>6</v>
                </pt>
                <pt idx="4">
                  <v>4</v>
                </pt>
                <pt idx="5">
                  <v>5</v>
                </pt>
                <pt idx="6">
                  <v>11</v>
                </pt>
                <pt idx="7">
                  <v>9</v>
                </pt>
                <pt idx="8">
                  <v>1</v>
                </pt>
              </numCache>
            </numRef>
          </val>
        </ser>
        <dLbls>
          <showLegendKey val="0"/>
          <showVal val="0"/>
          <showCatName val="0"/>
          <showSerName val="0"/>
          <showPercent val="0"/>
          <showBubbleSize val="0"/>
        </dLbls>
        <gapWidth val="182"/>
        <axId val="1172537759"/>
        <axId val="1172358319"/>
      </barChart>
      <catAx>
        <axId val="1172537759"/>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2358319"/>
        <crosses val="autoZero"/>
        <auto val="1"/>
        <lblAlgn val="ctr"/>
        <lblOffset val="100"/>
        <noMultiLvlLbl val="0"/>
      </catAx>
      <valAx>
        <axId val="1172358319"/>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253775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Marital Status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A_Demographics!$B$84</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cat>
            <strRef>
              <f>A_Demographics!$A$85:$A$86</f>
              <strCache>
                <ptCount val="2"/>
                <pt idx="0">
                  <v>Single</v>
                </pt>
                <pt idx="1">
                  <v>Married</v>
                </pt>
              </strCache>
            </strRef>
          </cat>
          <val>
            <numRef>
              <f>A_Demographics!$B$85:$B$86</f>
              <numCache>
                <formatCode>General</formatCode>
                <ptCount val="2"/>
                <pt idx="0">
                  <v>131</v>
                </pt>
                <pt idx="1">
                  <v>70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Do You Have Children?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A_Demographics!$B$90</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A_Demographics!$A$91:$A$94</f>
              <strCache>
                <ptCount val="4"/>
                <pt idx="0">
                  <v>(Missing)</v>
                </pt>
                <pt idx="1">
                  <v>No children</v>
                </pt>
                <pt idx="2">
                  <v>Yes, more than one child</v>
                </pt>
                <pt idx="3">
                  <v>Yes, only one child</v>
                </pt>
              </strCache>
            </strRef>
          </cat>
          <val>
            <numRef>
              <f>A_Demographics!$B$91:$B$94</f>
              <numCache>
                <formatCode>General</formatCode>
                <ptCount val="4"/>
                <pt idx="0">
                  <v>131</v>
                </pt>
                <pt idx="1">
                  <v>19</v>
                </pt>
                <pt idx="2">
                  <v>31</v>
                </pt>
                <pt idx="3">
                  <v>20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Family History of Blood Disorder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A_Demographics!$B$98</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A_Demographics!$A$99:$A$102</f>
              <strCache>
                <ptCount val="4"/>
                <pt idx="0">
                  <v>No</v>
                </pt>
                <pt idx="1">
                  <v>I don’t know</v>
                </pt>
                <pt idx="2">
                  <v>Yes</v>
                </pt>
                <pt idx="3">
                  <v>(Missing)</v>
                </pt>
              </strCache>
            </strRef>
          </cat>
          <val>
            <numRef>
              <f>A_Demographics!$B$99:$B$102</f>
              <numCache>
                <formatCode>General</formatCode>
                <ptCount val="4"/>
                <pt idx="0">
                  <v>137</v>
                </pt>
                <pt idx="1">
                  <v>22</v>
                </pt>
                <pt idx="2">
                  <v>39</v>
                </pt>
                <pt idx="3">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Place of Diagnosis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A_Demographics!$B$105</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A_Demographics!$A$106:$A$111</f>
              <strCache>
                <ptCount val="6"/>
                <pt idx="0">
                  <v>At workplace</v>
                </pt>
                <pt idx="1">
                  <v>During school/university</v>
                </pt>
                <pt idx="2">
                  <v>(Missing)</v>
                </pt>
                <pt idx="3">
                  <v>Individual or family screening after a relative was diagnosed</v>
                </pt>
                <pt idx="4">
                  <v>During community screening</v>
                </pt>
                <pt idx="5">
                  <v>Referral by a doctor</v>
                </pt>
              </strCache>
            </strRef>
          </cat>
          <val>
            <numRef>
              <f>A_Demographics!$B$106:$B$111</f>
              <numCache>
                <formatCode>General</formatCode>
                <ptCount val="6"/>
                <pt idx="0">
                  <v>40</v>
                </pt>
                <pt idx="1">
                  <v>98</v>
                </pt>
                <pt idx="2">
                  <v>1</v>
                </pt>
                <pt idx="3">
                  <v>9</v>
                </pt>
                <pt idx="4">
                  <v>46</v>
                </pt>
                <pt idx="5">
                  <v>7</v>
                </pt>
              </numCache>
            </numRef>
          </val>
        </ser>
        <dLbls>
          <showLegendKey val="0"/>
          <showVal val="0"/>
          <showCatName val="0"/>
          <showSerName val="0"/>
          <showPercent val="0"/>
          <showBubbleSize val="0"/>
        </dLbls>
        <gapWidth val="182"/>
        <axId val="939513712"/>
        <axId val="939519472"/>
      </barChart>
      <catAx>
        <axId val="93951371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9519472"/>
        <crosses val="autoZero"/>
        <auto val="1"/>
        <lblAlgn val="ctr"/>
        <lblOffset val="100"/>
        <noMultiLvlLbl val="0"/>
      </catAx>
      <valAx>
        <axId val="9395194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951371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Q15: Is Thalassemia Blood-Related?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B_Knowledge!$B$6</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B_Knowledge!$A$7:$A$9</f>
              <strCache>
                <ptCount val="3"/>
                <pt idx="0">
                  <v>Yes</v>
                </pt>
                <pt idx="1">
                  <v>Don’t know</v>
                </pt>
                <pt idx="2">
                  <v>No</v>
                </pt>
              </strCache>
            </strRef>
          </cat>
          <val>
            <numRef>
              <f>B_Knowledge!$B$7:$B$9</f>
              <numCache>
                <formatCode>General</formatCode>
                <ptCount val="3"/>
                <pt idx="0">
                  <v>181</v>
                </pt>
                <pt idx="1">
                  <v>16</v>
                </pt>
                <pt idx="2">
                  <v>4</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Q16: Clinical Forms Known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B_Knowledge!$B$13</f>
              <strCache>
                <ptCount val="1"/>
                <pt idx="0">
                  <v>Selected (n)</v>
                </pt>
              </strCache>
            </strRef>
          </tx>
          <spPr>
            <a:solidFill xmlns:a="http://schemas.openxmlformats.org/drawingml/2006/main">
              <a:schemeClr val="accent1"/>
            </a:solidFill>
            <a:ln xmlns:a="http://schemas.openxmlformats.org/drawingml/2006/main">
              <a:noFill/>
              <a:prstDash val="solid"/>
            </a:ln>
          </spPr>
          <invertIfNegative val="0"/>
          <cat>
            <strRef>
              <f>B_Knowledge!$A$14:$A$16</f>
              <strCache>
                <ptCount val="3"/>
                <pt idx="0">
                  <v>Thalassemia major (severe form)</v>
                </pt>
                <pt idx="1">
                  <v>Thalassemia minor or trait (carrier form)</v>
                </pt>
                <pt idx="2">
                  <v>Thalassemia intermedia (moderate form)</v>
                </pt>
              </strCache>
            </strRef>
          </cat>
          <val>
            <numRef>
              <f>B_Knowledge!$B$14:$B$16</f>
              <numCache>
                <formatCode>General</formatCode>
                <ptCount val="3"/>
                <pt idx="0">
                  <v>147</v>
                </pt>
                <pt idx="1">
                  <v>146</v>
                </pt>
                <pt idx="2">
                  <v>15</v>
                </pt>
              </numCache>
            </numRef>
          </val>
        </ser>
        <dLbls>
          <showLegendKey val="0"/>
          <showVal val="0"/>
          <showCatName val="0"/>
          <showSerName val="0"/>
          <showPercent val="0"/>
          <showBubbleSize val="0"/>
        </dLbls>
        <gapWidth val="182"/>
        <axId val="1196381215"/>
        <axId val="1196382655"/>
      </barChart>
      <catAx>
        <axId val="119638121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96382655"/>
        <crosses val="autoZero"/>
        <auto val="1"/>
        <lblAlgn val="ctr"/>
        <lblOffset val="100"/>
        <noMultiLvlLbl val="0"/>
      </catAx>
      <valAx>
        <axId val="119638265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9638121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Q17: Most Severe Form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B_Knowledge!$B$20</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dPt>
            <idx val="5"/>
            <bubble3D val="0"/>
            <spPr>
              <a:solidFill xmlns:a="http://schemas.openxmlformats.org/drawingml/2006/main">
                <a:schemeClr val="accent6"/>
              </a:solidFill>
              <a:ln xmlns:a="http://schemas.openxmlformats.org/drawingml/2006/main" w="19050">
                <a:solidFill>
                  <a:schemeClr val="lt1"/>
                </a:solidFill>
                <a:prstDash val="solid"/>
              </a:ln>
            </spPr>
          </dPt>
          <cat>
            <strRef>
              <f>B_Knowledge!$A$21:$A$26</f>
              <strCache>
                <ptCount val="6"/>
                <pt idx="0">
                  <v>Thalassemia major (severe form)</v>
                </pt>
                <pt idx="1">
                  <v>I don’t know</v>
                </pt>
                <pt idx="2">
                  <v>Thalassemia major (severe form)   I don’t know</v>
                </pt>
                <pt idx="3">
                  <v>Thalassemia minor or trait (carrier form)</v>
                </pt>
                <pt idx="4">
                  <v>Thalassemia major (severe form)   Thalassemia minor or trait (carrier form)</v>
                </pt>
                <pt idx="5">
                  <v>(Missing)</v>
                </pt>
              </strCache>
            </strRef>
          </cat>
          <val>
            <numRef>
              <f>B_Knowledge!$B$21:$B$26</f>
              <numCache>
                <formatCode>General</formatCode>
                <ptCount val="6"/>
                <pt idx="0">
                  <v>126</v>
                </pt>
                <pt idx="1">
                  <v>61</v>
                </pt>
                <pt idx="2">
                  <v>1</v>
                </pt>
                <pt idx="3">
                  <v>7</v>
                </pt>
                <pt idx="4">
                  <v>4</v>
                </pt>
                <pt idx="5">
                  <v>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Q18: Form of Thalassemia You Have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B_Knowledge!$B$30</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B_Knowledge!$A$31:$A$35</f>
              <strCache>
                <ptCount val="5"/>
                <pt idx="0">
                  <v>Thalassemia minor or trait (carrier form)</v>
                </pt>
                <pt idx="1">
                  <v>I don’t know</v>
                </pt>
                <pt idx="2">
                  <v>Thalassemia intermedia (moderate form)</v>
                </pt>
                <pt idx="3">
                  <v>Thalassemia major (severe form)</v>
                </pt>
                <pt idx="4">
                  <v>(Missing)</v>
                </pt>
              </strCache>
            </strRef>
          </cat>
          <val>
            <numRef>
              <f>B_Knowledge!$B$31:$B$35</f>
              <numCache>
                <formatCode>General</formatCode>
                <ptCount val="5"/>
                <pt idx="0">
                  <v>173</v>
                </pt>
                <pt idx="1">
                  <v>18</v>
                </pt>
                <pt idx="2">
                  <v>1</v>
                </pt>
                <pt idx="3">
                  <v>6</v>
                </pt>
                <pt idx="4">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Q19: Requires Lifelong Treatment?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B_Knowledge!$B$39</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B_Knowledge!$A$40:$A$43</f>
              <strCache>
                <ptCount val="4"/>
                <pt idx="0">
                  <v>Yes</v>
                </pt>
                <pt idx="1">
                  <v>No</v>
                </pt>
                <pt idx="2">
                  <v>Don’t know</v>
                </pt>
                <pt idx="3">
                  <v>(Missing)</v>
                </pt>
              </strCache>
            </strRef>
          </cat>
          <val>
            <numRef>
              <f>B_Knowledge!$B$40:$B$43</f>
              <numCache>
                <formatCode>General</formatCode>
                <ptCount val="4"/>
                <pt idx="0">
                  <v>129</v>
                </pt>
                <pt idx="1">
                  <v>11</v>
                </pt>
                <pt idx="2">
                  <v>60</v>
                </pt>
                <pt idx="3">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Q20: Can Thalassemia Major Be Cured?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B_Knowledge!$B$47</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B_Knowledge!$A$48:$A$51</f>
              <strCache>
                <ptCount val="4"/>
                <pt idx="0">
                  <v>Cannot be cured</v>
                </pt>
                <pt idx="1">
                  <v>Very difficult (e.g., bone marrow transplant)</v>
                </pt>
                <pt idx="2">
                  <v>Don’t know</v>
                </pt>
                <pt idx="3">
                  <v>Can be cured with common treatments</v>
                </pt>
              </strCache>
            </strRef>
          </cat>
          <val>
            <numRef>
              <f>B_Knowledge!$B$48:$B$51</f>
              <numCache>
                <formatCode>General</formatCode>
                <ptCount val="4"/>
                <pt idx="0">
                  <v>96</v>
                </pt>
                <pt idx="1">
                  <v>30</v>
                </pt>
                <pt idx="2">
                  <v>67</v>
                </pt>
                <pt idx="3">
                  <v>8</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Q21: Can Spread Be Prevented?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B_Knowledge!$B$55</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B_Knowledge!$A$56:$A$58</f>
              <strCache>
                <ptCount val="3"/>
                <pt idx="0">
                  <v>Can be prevented</v>
                </pt>
                <pt idx="1">
                  <v>Not sure</v>
                </pt>
                <pt idx="2">
                  <v>Cannot be prevented</v>
                </pt>
              </strCache>
            </strRef>
          </cat>
          <val>
            <numRef>
              <f>B_Knowledge!$B$56:$B$58</f>
              <numCache>
                <formatCode>General</formatCode>
                <ptCount val="3"/>
                <pt idx="0">
                  <v>151</v>
                </pt>
                <pt idx="1">
                  <v>40</v>
                </pt>
                <pt idx="2">
                  <v>10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Q22: How Is Thalassemia Transmitted?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B_Knowledge!$B$62</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B_Knowledge!$A$63:$A$66</f>
              <strCache>
                <ptCount val="4"/>
                <pt idx="0">
                  <v>From generation to generation (hereditary)</v>
                </pt>
                <pt idx="1">
                  <v>As a contagious disease</v>
                </pt>
                <pt idx="2">
                  <v>Don’t know</v>
                </pt>
                <pt idx="3">
                  <v>(Missing)</v>
                </pt>
              </strCache>
            </strRef>
          </cat>
          <val>
            <numRef>
              <f>B_Knowledge!$B$63:$B$66</f>
              <numCache>
                <formatCode>General</formatCode>
                <ptCount val="4"/>
                <pt idx="0">
                  <v>179</v>
                </pt>
                <pt idx="1">
                  <v>1</v>
                </pt>
                <pt idx="2">
                  <v>19</v>
                </pt>
                <pt idx="3">
                  <v>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Q23: Is Carrier Sick or Healthy?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B_Knowledge!$B$70</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B_Knowledge!$A$71:$A$74</f>
              <strCache>
                <ptCount val="4"/>
                <pt idx="0">
                  <v>Healthy</v>
                </pt>
                <pt idx="1">
                  <v>Don’t know</v>
                </pt>
                <pt idx="2">
                  <v>Not healthy</v>
                </pt>
                <pt idx="3">
                  <v>(Missing)</v>
                </pt>
              </strCache>
            </strRef>
          </cat>
          <val>
            <numRef>
              <f>B_Knowledge!$B$71:$B$74</f>
              <numCache>
                <formatCode>General</formatCode>
                <ptCount val="4"/>
                <pt idx="0">
                  <v>166</v>
                </pt>
                <pt idx="1">
                  <v>14</v>
                </pt>
                <pt idx="2">
                  <v>20</v>
                </pt>
                <pt idx="3">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Q24: Child from Two Carriers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B_Knowledge!$B$78</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B_Knowledge!$A$79:$A$83</f>
              <strCache>
                <ptCount val="5"/>
                <pt idx="0">
                  <v>Always affected by thalassemia</v>
                </pt>
                <pt idx="1">
                  <v>Has a chance to be affected (e.g., 25%)</v>
                </pt>
                <pt idx="2">
                  <v>Don’t know</v>
                </pt>
                <pt idx="3">
                  <v>Always healthy</v>
                </pt>
                <pt idx="4">
                  <v>(Missing)</v>
                </pt>
              </strCache>
            </strRef>
          </cat>
          <val>
            <numRef>
              <f>B_Knowledge!$B$79:$B$83</f>
              <numCache>
                <formatCode>General</formatCode>
                <ptCount val="5"/>
                <pt idx="0">
                  <v>59</v>
                </pt>
                <pt idx="1">
                  <v>121</v>
                </pt>
                <pt idx="2">
                  <v>16</v>
                </pt>
                <pt idx="3">
                  <v>4</v>
                </pt>
                <pt idx="4">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Q25: Was Counseling Sufficient?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B_Knowledge!$B$87</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B_Knowledge!$A$88:$A$90</f>
              <strCache>
                <ptCount val="3"/>
                <pt idx="0">
                  <v>Yes</v>
                </pt>
                <pt idx="1">
                  <v>No</v>
                </pt>
                <pt idx="2">
                  <v>(Missing)</v>
                </pt>
              </strCache>
            </strRef>
          </cat>
          <val>
            <numRef>
              <f>B_Knowledge!$B$88:$B$90</f>
              <numCache>
                <formatCode>General</formatCode>
                <ptCount val="3"/>
                <pt idx="0">
                  <v>136</v>
                </pt>
                <pt idx="1">
                  <v>58</v>
                </pt>
                <pt idx="2">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Q26: Births per Year in Sri Lanka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B_Knowledge!$B$94</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B_Knowledge!$A$95:$A$98</f>
              <strCache>
                <ptCount val="4"/>
                <pt idx="0">
                  <v>Don’t know</v>
                </pt>
                <pt idx="1">
                  <v>Much less than this (&lt;40)</v>
                </pt>
                <pt idx="2">
                  <v>More than this (&gt;100)</v>
                </pt>
                <pt idx="3">
                  <v>40–100</v>
                </pt>
              </strCache>
            </strRef>
          </cat>
          <val>
            <numRef>
              <f>B_Knowledge!$B$95:$B$98</f>
              <numCache>
                <formatCode>General</formatCode>
                <ptCount val="4"/>
                <pt idx="0">
                  <v>190</v>
                </pt>
                <pt idx="1">
                  <v>2</v>
                </pt>
                <pt idx="2">
                  <v>1</v>
                </pt>
                <pt idx="3">
                  <v>8</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Q27: Problems Faced by Thalassemia Major Patients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B_Knowledge!$B$101</f>
              <strCache>
                <ptCount val="1"/>
                <pt idx="0">
                  <v>Selected (n)</v>
                </pt>
              </strCache>
            </strRef>
          </tx>
          <spPr>
            <a:solidFill xmlns:a="http://schemas.openxmlformats.org/drawingml/2006/main">
              <a:schemeClr val="accent1"/>
            </a:solidFill>
            <a:ln xmlns:a="http://schemas.openxmlformats.org/drawingml/2006/main">
              <a:noFill/>
              <a:prstDash val="solid"/>
            </a:ln>
          </spPr>
          <invertIfNegative val="0"/>
          <cat>
            <strRef>
              <f>B_Knowledge!$A$102:$A$109</f>
              <strCache>
                <ptCount val="8"/>
                <pt idx="0">
                  <v>Regular blood transfusions for life</v>
                </pt>
                <pt idx="1">
                  <v>Iron overload affecting heart and liver</v>
                </pt>
                <pt idx="2">
                  <v>Delayed growth and puberty</v>
                </pt>
                <pt idx="3">
                  <v>Risk of diabetes, infertility, and hormonal issues</v>
                </pt>
                <pt idx="4">
                  <v>Risk of infections from transfusions</v>
                </pt>
                <pt idx="5">
                  <v>Frequent nosebleeds</v>
                </pt>
                <pt idx="6">
                  <v>Fatigue</v>
                </pt>
                <pt idx="7">
                  <v>Bone deformities</v>
                </pt>
              </strCache>
            </strRef>
          </cat>
          <val>
            <numRef>
              <f>B_Knowledge!$B$102:$B$109</f>
              <numCache>
                <formatCode>General</formatCode>
                <ptCount val="8"/>
                <pt idx="0">
                  <v>169</v>
                </pt>
                <pt idx="1">
                  <v>53</v>
                </pt>
                <pt idx="2">
                  <v>48</v>
                </pt>
                <pt idx="3">
                  <v>15</v>
                </pt>
                <pt idx="4">
                  <v>39</v>
                </pt>
                <pt idx="5">
                  <v>29</v>
                </pt>
                <pt idx="6">
                  <v>64</v>
                </pt>
                <pt idx="7">
                  <v>41</v>
                </pt>
              </numCache>
            </numRef>
          </val>
        </ser>
        <dLbls>
          <showLegendKey val="0"/>
          <showVal val="0"/>
          <showCatName val="0"/>
          <showSerName val="0"/>
          <showPercent val="0"/>
          <showBubbleSize val="0"/>
        </dLbls>
        <gapWidth val="182"/>
        <axId val="1178768127"/>
        <axId val="1178768607"/>
      </barChart>
      <catAx>
        <axId val="1178768127"/>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8768607"/>
        <crosses val="autoZero"/>
        <auto val="1"/>
        <lblAlgn val="ctr"/>
        <lblOffset val="100"/>
        <noMultiLvlLbl val="0"/>
      </catAx>
      <valAx>
        <axId val="1178768607"/>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78768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Q28: What Should Carrier Do After Diagnosis?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B_Knowledge!$B$113</f>
              <strCache>
                <ptCount val="1"/>
                <pt idx="0">
                  <v>Selected (n)</v>
                </pt>
              </strCache>
            </strRef>
          </tx>
          <spPr>
            <a:solidFill xmlns:a="http://schemas.openxmlformats.org/drawingml/2006/main">
              <a:schemeClr val="accent1"/>
            </a:solidFill>
            <a:ln xmlns:a="http://schemas.openxmlformats.org/drawingml/2006/main">
              <a:noFill/>
              <a:prstDash val="solid"/>
            </a:ln>
          </spPr>
          <invertIfNegative val="0"/>
          <cat>
            <strRef>
              <f>B_Knowledge!$A$114:$A$116</f>
              <strCache>
                <ptCount val="3"/>
                <pt idx="0">
                  <v>Get the partner tested before marriage</v>
                </pt>
                <pt idx="1">
                  <v>Get family members tested</v>
                </pt>
                <pt idx="2">
                  <v>Ignore it</v>
                </pt>
              </strCache>
            </strRef>
          </cat>
          <val>
            <numRef>
              <f>B_Knowledge!$B$114:$B$116</f>
              <numCache>
                <formatCode>General</formatCode>
                <ptCount val="3"/>
                <pt idx="0">
                  <v>159</v>
                </pt>
                <pt idx="1">
                  <v>158</v>
                </pt>
                <pt idx="2">
                  <v>0</v>
                </pt>
              </numCache>
            </numRef>
          </val>
        </ser>
        <dLbls>
          <showLegendKey val="0"/>
          <showVal val="0"/>
          <showCatName val="0"/>
          <showSerName val="0"/>
          <showPercent val="0"/>
          <showBubbleSize val="0"/>
        </dLbls>
        <gapWidth val="182"/>
        <axId val="1291062175"/>
        <axId val="1291065055"/>
      </barChart>
      <catAx>
        <axId val="129106217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65055"/>
        <crosses val="autoZero"/>
        <auto val="1"/>
        <lblAlgn val="ctr"/>
        <lblOffset val="100"/>
        <noMultiLvlLbl val="0"/>
      </catAx>
      <valAx>
        <axId val="129106505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6217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Q29: How Did You Learn About Thalassemia?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B_Knowledge!$B$120</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B_Knowledge!$A$121:$A$125</f>
              <strCache>
                <ptCount val="5"/>
                <pt idx="0">
                  <v>Healthcare staff (doctors and nurses)</v>
                </pt>
                <pt idx="1">
                  <v>Only found out after screening</v>
                </pt>
                <pt idx="2">
                  <v>School</v>
                </pt>
                <pt idx="3">
                  <v>Mass media (TV, newspapers, social media)</v>
                </pt>
                <pt idx="4">
                  <v>Family</v>
                </pt>
              </strCache>
            </strRef>
          </cat>
          <val>
            <numRef>
              <f>B_Knowledge!$B$121:$B$125</f>
              <numCache>
                <formatCode>General</formatCode>
                <ptCount val="5"/>
                <pt idx="0">
                  <v>35</v>
                </pt>
                <pt idx="1">
                  <v>84</v>
                </pt>
                <pt idx="2">
                  <v>58</v>
                </pt>
                <pt idx="3">
                  <v>7</v>
                </pt>
                <pt idx="4">
                  <v>17</v>
                </pt>
              </numCache>
            </numRef>
          </val>
        </ser>
        <dLbls>
          <showLegendKey val="0"/>
          <showVal val="0"/>
          <showCatName val="0"/>
          <showSerName val="0"/>
          <showPercent val="0"/>
          <showBubbleSize val="0"/>
        </dLbls>
        <gapWidth val="182"/>
        <axId val="1291055455"/>
        <axId val="1291066495"/>
      </barChart>
      <catAx>
        <axId val="129105545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66495"/>
        <crosses val="autoZero"/>
        <auto val="1"/>
        <lblAlgn val="ctr"/>
        <lblOffset val="100"/>
        <noMultiLvlLbl val="0"/>
      </catAx>
      <valAx>
        <axId val="129106649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5545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Q30: Willing for Consanguineous Marriage?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C_Marriage_Partner!$B$6</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C_Marriage_Partner!$A$7:$A$11</f>
              <strCache>
                <ptCount val="5"/>
                <pt idx="0">
                  <v>Definitely not</v>
                </pt>
                <pt idx="1">
                  <v>Yes I am willing</v>
                </pt>
                <pt idx="2">
                  <v>Not sure</v>
                </pt>
                <pt idx="3">
                  <v>Yes I have</v>
                </pt>
                <pt idx="4">
                  <v>(Missing)</v>
                </pt>
              </strCache>
            </strRef>
          </cat>
          <val>
            <numRef>
              <f>C_Marriage_Partner!$B$7:$B$11</f>
              <numCache>
                <formatCode>General</formatCode>
                <ptCount val="5"/>
                <pt idx="0">
                  <v>160</v>
                </pt>
                <pt idx="1">
                  <v>3</v>
                </pt>
                <pt idx="2">
                  <v>35</v>
                </pt>
                <pt idx="3">
                  <v>2</v>
                </pt>
                <pt idx="4">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Q31: Accept Marriage Between Two Carriers?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C_Marriage_Partner!$B$15</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C_Marriage_Partner!$A$16:$A$19</f>
              <strCache>
                <ptCount val="4"/>
                <pt idx="0">
                  <v>No</v>
                </pt>
                <pt idx="1">
                  <v>Yes</v>
                </pt>
                <pt idx="2">
                  <v>Not sure</v>
                </pt>
                <pt idx="3">
                  <v>(Missing)</v>
                </pt>
              </strCache>
            </strRef>
          </cat>
          <val>
            <numRef>
              <f>C_Marriage_Partner!$B$16:$B$19</f>
              <numCache>
                <formatCode>General</formatCode>
                <ptCount val="4"/>
                <pt idx="0">
                  <v>155</v>
                </pt>
                <pt idx="1">
                  <v>10</v>
                </pt>
                <pt idx="2">
                  <v>33</v>
                </pt>
                <pt idx="3">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Q32: Importance of Pre-Marriage Screening</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C_Marriage_Partner!$B$23</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C_Marriage_Partner!$A$24:$A$28</f>
              <strCache>
                <ptCount val="5"/>
                <pt idx="0">
                  <v>Very important</v>
                </pt>
                <pt idx="1">
                  <v>Important</v>
                </pt>
                <pt idx="2">
                  <v>Not sure</v>
                </pt>
                <pt idx="3">
                  <v>(Missing)</v>
                </pt>
                <pt idx="4">
                  <v>Not important</v>
                </pt>
              </strCache>
            </strRef>
          </cat>
          <val>
            <numRef>
              <f>C_Marriage_Partner!$B$24:$B$28</f>
              <numCache>
                <formatCode>General</formatCode>
                <ptCount val="5"/>
                <pt idx="0">
                  <v>135</v>
                </pt>
                <pt idx="1">
                  <v>47</v>
                </pt>
                <pt idx="2">
                  <v>13</v>
                </pt>
                <pt idx="3">
                  <v>2</v>
                </pt>
                <pt idx="4">
                  <v>4</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Q33: Partner Screening Practice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C_Marriage_Partner!$B$32</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C_Marriage_Partner!$A$33:$A$39</f>
              <strCache>
                <ptCount val="7"/>
                <pt idx="0">
                  <v>(Missing)</v>
                </pt>
                <pt idx="1">
                  <v>Partner was screened before marriage</v>
                </pt>
                <pt idx="2">
                  <v>Did not disclose thalassemia carrier state to partner</v>
                </pt>
                <pt idx="3">
                  <v>Did not screen partner</v>
                </pt>
                <pt idx="4">
                  <v>Other</v>
                </pt>
                <pt idx="5">
                  <v>Partner was screened after marriage</v>
                </pt>
                <pt idx="6">
                  <v>Partner was screened during pregnancy</v>
                </pt>
              </strCache>
            </strRef>
          </cat>
          <val>
            <numRef>
              <f>C_Marriage_Partner!$B$33:$B$39</f>
              <numCache>
                <formatCode>General</formatCode>
                <ptCount val="7"/>
                <pt idx="0">
                  <v>76</v>
                </pt>
                <pt idx="1">
                  <v>21</v>
                </pt>
                <pt idx="2">
                  <v>2</v>
                </pt>
                <pt idx="3">
                  <v>26</v>
                </pt>
                <pt idx="4">
                  <v>42</v>
                </pt>
                <pt idx="5">
                  <v>33</v>
                </pt>
                <pt idx="6">
                  <v>1</v>
                </pt>
              </numCache>
            </numRef>
          </val>
        </ser>
        <dLbls>
          <showLegendKey val="0"/>
          <showVal val="0"/>
          <showCatName val="0"/>
          <showSerName val="0"/>
          <showPercent val="0"/>
          <showBubbleSize val="0"/>
        </dLbls>
        <gapWidth val="182"/>
        <axId val="1291054975"/>
        <axId val="1291071775"/>
      </barChart>
      <catAx>
        <axId val="129105497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71775"/>
        <crosses val="autoZero"/>
        <auto val="1"/>
        <lblAlgn val="ctr"/>
        <lblOffset val="100"/>
        <noMultiLvlLbl val="0"/>
      </catAx>
      <valAx>
        <axId val="129107177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9105497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Q34: Reason for Not Disclosing Status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C_Marriage_Partner!$B$43</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C_Marriage_Partner!$A$44:$A$50</f>
              <strCache>
                <ptCount val="7"/>
                <pt idx="0">
                  <v>(Missing)</v>
                </pt>
                <pt idx="1">
                  <v>Fear of rejection</v>
                </pt>
                <pt idx="2">
                  <v>Lack of understanding about its importance</v>
                </pt>
                <pt idx="3">
                  <v>Did not think it was necessary</v>
                </pt>
                <pt idx="4">
                  <v>Other</v>
                </pt>
                <pt idx="5">
                  <v>Concern about causing worry or stress</v>
                </pt>
                <pt idx="6">
                  <v>Cultural or family pressure</v>
                </pt>
              </strCache>
            </strRef>
          </cat>
          <val>
            <numRef>
              <f>C_Marriage_Partner!$B$44:$B$50</f>
              <numCache>
                <formatCode>General</formatCode>
                <ptCount val="7"/>
                <pt idx="0">
                  <v>134</v>
                </pt>
                <pt idx="1">
                  <v>3</v>
                </pt>
                <pt idx="2">
                  <v>7</v>
                </pt>
                <pt idx="3">
                  <v>9</v>
                </pt>
                <pt idx="4">
                  <v>46</v>
                </pt>
                <pt idx="5">
                  <v>1</v>
                </pt>
                <pt idx="6">
                  <v>1</v>
                </pt>
              </numCache>
            </numRef>
          </val>
        </ser>
        <dLbls>
          <showLegendKey val="0"/>
          <showVal val="0"/>
          <showCatName val="0"/>
          <showSerName val="0"/>
          <showPercent val="0"/>
          <showBubbleSize val="0"/>
        </dLbls>
        <gapWidth val="182"/>
        <axId val="1196379295"/>
        <axId val="1196379775"/>
      </barChart>
      <catAx>
        <axId val="119637929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96379775"/>
        <crosses val="autoZero"/>
        <auto val="1"/>
        <lblAlgn val="ctr"/>
        <lblOffset val="100"/>
        <noMultiLvlLbl val="0"/>
      </catAx>
      <valAx>
        <axId val="1196379775"/>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9637929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Q35: Important for Family to Screen?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D_Family_Screening!$B$6</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D_Family_Screening!$A$7:$A$10</f>
              <strCache>
                <ptCount val="4"/>
                <pt idx="0">
                  <v>Agree</v>
                </pt>
                <pt idx="1">
                  <v>Disagree</v>
                </pt>
                <pt idx="2">
                  <v>Don’t know</v>
                </pt>
                <pt idx="3">
                  <v>(Missing)</v>
                </pt>
              </strCache>
            </strRef>
          </cat>
          <val>
            <numRef>
              <f>D_Family_Screening!$B$7:$B$10</f>
              <numCache>
                <formatCode>General</formatCode>
                <ptCount val="4"/>
                <pt idx="0">
                  <v>191</v>
                </pt>
                <pt idx="1">
                  <v>4</v>
                </pt>
                <pt idx="2">
                  <v>5</v>
                </pt>
                <pt idx="3">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Q36: Family Knows Your Status?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D_Family_Screening!$B$14</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cat>
            <strRef>
              <f>D_Family_Screening!$A$15:$A$17</f>
              <strCache>
                <ptCount val="3"/>
                <pt idx="0">
                  <v>Yes</v>
                </pt>
                <pt idx="1">
                  <v>No</v>
                </pt>
                <pt idx="2">
                  <v>(Missing)</v>
                </pt>
              </strCache>
            </strRef>
          </cat>
          <val>
            <numRef>
              <f>D_Family_Screening!$B$15:$B$17</f>
              <numCache>
                <formatCode>General</formatCode>
                <ptCount val="3"/>
                <pt idx="0">
                  <v>182</v>
                </pt>
                <pt idx="1">
                  <v>15</v>
                </pt>
                <pt idx="2">
                  <v>4</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Q37a: First-Degree Relatives Screened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D_Family_Screening!$B$21</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cat>
            <strRef>
              <f>D_Family_Screening!$A$22:$A$25</f>
              <strCache>
                <ptCount val="4"/>
                <pt idx="0">
                  <v>Some</v>
                </pt>
                <pt idx="1">
                  <v>All</v>
                </pt>
                <pt idx="2">
                  <v>Don't know</v>
                </pt>
                <pt idx="3">
                  <v>None</v>
                </pt>
              </strCache>
            </strRef>
          </cat>
          <val>
            <numRef>
              <f>D_Family_Screening!$B$22:$B$25</f>
              <numCache>
                <formatCode>General</formatCode>
                <ptCount val="4"/>
                <pt idx="0">
                  <v>70</v>
                </pt>
                <pt idx="1">
                  <v>80</v>
                </pt>
                <pt idx="2">
                  <v>6</v>
                </pt>
                <pt idx="3">
                  <v>45</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Q37b: Second-Degree Relatives Screened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D_Family_Screening!$B$29</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D_Family_Screening!$A$30:$A$34</f>
              <strCache>
                <ptCount val="5"/>
                <pt idx="0">
                  <v>None</v>
                </pt>
                <pt idx="1">
                  <v>(Missing)</v>
                </pt>
                <pt idx="2">
                  <v>Don't know</v>
                </pt>
                <pt idx="3">
                  <v>Some</v>
                </pt>
                <pt idx="4">
                  <v>All</v>
                </pt>
              </strCache>
            </strRef>
          </cat>
          <val>
            <numRef>
              <f>D_Family_Screening!$B$30:$B$34</f>
              <numCache>
                <formatCode>General</formatCode>
                <ptCount val="5"/>
                <pt idx="0">
                  <v>109</v>
                </pt>
                <pt idx="1">
                  <v>6</v>
                </pt>
                <pt idx="2">
                  <v>35</v>
                </pt>
                <pt idx="3">
                  <v>41</v>
                </pt>
                <pt idx="4">
                  <v>10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Q37c: Third-Degree Relatives Screened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D_Family_Screening!$B$38</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D_Family_Screening!$A$39:$A$43</f>
              <strCache>
                <ptCount val="5"/>
                <pt idx="0">
                  <v>None</v>
                </pt>
                <pt idx="1">
                  <v>(Missing)</v>
                </pt>
                <pt idx="2">
                  <v>Don't know</v>
                </pt>
                <pt idx="3">
                  <v>All</v>
                </pt>
                <pt idx="4">
                  <v>Some</v>
                </pt>
              </strCache>
            </strRef>
          </cat>
          <val>
            <numRef>
              <f>D_Family_Screening!$B$39:$B$43</f>
              <numCache>
                <formatCode>General</formatCode>
                <ptCount val="5"/>
                <pt idx="0">
                  <v>105</v>
                </pt>
                <pt idx="1">
                  <v>9</v>
                </pt>
                <pt idx="2">
                  <v>73</v>
                </pt>
                <pt idx="3">
                  <v>5</v>
                </pt>
                <pt idx="4">
                  <v>9</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Q38: Reasons for Not Screening</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D_Family_Screening!$B$47</f>
              <strCache>
                <ptCount val="1"/>
                <pt idx="0">
                  <v>Selected (n)</v>
                </pt>
              </strCache>
            </strRef>
          </tx>
          <spPr>
            <a:solidFill xmlns:a="http://schemas.openxmlformats.org/drawingml/2006/main">
              <a:schemeClr val="accent1"/>
            </a:solidFill>
            <a:ln xmlns:a="http://schemas.openxmlformats.org/drawingml/2006/main">
              <a:noFill/>
              <a:prstDash val="solid"/>
            </a:ln>
          </spPr>
          <invertIfNegative val="0"/>
          <cat>
            <strRef>
              <f>D_Family_Screening!$A$48:$A$53</f>
              <strCache>
                <ptCount val="6"/>
                <pt idx="0">
                  <v>Lack of knowledge</v>
                </pt>
                <pt idx="1">
                  <v>Concern about stigma or discrimination</v>
                </pt>
                <pt idx="2">
                  <v>Fear of result</v>
                </pt>
                <pt idx="3">
                  <v>Perception that screening was unnecessary</v>
                </pt>
                <pt idx="4">
                  <v>Cost or access issues</v>
                </pt>
                <pt idx="5">
                  <v>Other</v>
                </pt>
              </strCache>
            </strRef>
          </cat>
          <val>
            <numRef>
              <f>D_Family_Screening!$B$48:$B$53</f>
              <numCache>
                <formatCode>General</formatCode>
                <ptCount val="6"/>
                <pt idx="0">
                  <v>98</v>
                </pt>
                <pt idx="1">
                  <v>21</v>
                </pt>
                <pt idx="2">
                  <v>7</v>
                </pt>
                <pt idx="3">
                  <v>51</v>
                </pt>
                <pt idx="4">
                  <v>14</v>
                </pt>
                <pt idx="5">
                  <v>8</v>
                </pt>
              </numCache>
            </numRef>
          </val>
        </ser>
        <dLbls>
          <showLegendKey val="0"/>
          <showVal val="0"/>
          <showCatName val="0"/>
          <showSerName val="0"/>
          <showPercent val="0"/>
          <showBubbleSize val="0"/>
        </dLbls>
        <gapWidth val="182"/>
        <axId val="1269335391"/>
        <axId val="1269331551"/>
      </barChart>
      <catAx>
        <axId val="1269335391"/>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69331551"/>
        <crosses val="autoZero"/>
        <auto val="1"/>
        <lblAlgn val="ctr"/>
        <lblOffset val="100"/>
        <noMultiLvlLbl val="0"/>
      </catAx>
      <valAx>
        <axId val="1269331551"/>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6933539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Q39: Easy to Convince Relatives?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D_Family_Screening!$B$57</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D_Family_Screening!$A$58:$A$62</f>
              <strCache>
                <ptCount val="5"/>
                <pt idx="0">
                  <v>Somewhat easy</v>
                </pt>
                <pt idx="1">
                  <v>Not sure</v>
                </pt>
                <pt idx="2">
                  <v>Difficult</v>
                </pt>
                <pt idx="3">
                  <v>Very easy</v>
                </pt>
                <pt idx="4">
                  <v>(Missing)</v>
                </pt>
              </strCache>
            </strRef>
          </cat>
          <val>
            <numRef>
              <f>D_Family_Screening!$B$58:$B$62</f>
              <numCache>
                <formatCode>General</formatCode>
                <ptCount val="5"/>
                <pt idx="0">
                  <v>93</v>
                </pt>
                <pt idx="1">
                  <v>33</v>
                </pt>
                <pt idx="2">
                  <v>38</v>
                </pt>
                <pt idx="3">
                  <v>29</v>
                </pt>
                <pt idx="4">
                  <v>8</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Q40: Importance of Cascade Screening</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tx>
            <strRef>
              <f>D_Family_Screening!$B$66</f>
              <strCache>
                <ptCount val="1"/>
                <pt idx="0">
                  <v>Frequency</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Pt>
            <idx val="2"/>
            <bubble3D val="0"/>
            <spPr>
              <a:solidFill xmlns:a="http://schemas.openxmlformats.org/drawingml/2006/main">
                <a:schemeClr val="accent3"/>
              </a:solidFill>
              <a:ln xmlns:a="http://schemas.openxmlformats.org/drawingml/2006/main" w="19050">
                <a:solidFill>
                  <a:schemeClr val="lt1"/>
                </a:solidFill>
                <a:prstDash val="solid"/>
              </a:ln>
            </spPr>
          </dPt>
          <dPt>
            <idx val="3"/>
            <bubble3D val="0"/>
            <spPr>
              <a:solidFill xmlns:a="http://schemas.openxmlformats.org/drawingml/2006/main">
                <a:schemeClr val="accent4"/>
              </a:solidFill>
              <a:ln xmlns:a="http://schemas.openxmlformats.org/drawingml/2006/main" w="19050">
                <a:solidFill>
                  <a:schemeClr val="lt1"/>
                </a:solidFill>
                <a:prstDash val="solid"/>
              </a:ln>
            </spPr>
          </dPt>
          <dPt>
            <idx val="4"/>
            <bubble3D val="0"/>
            <spPr>
              <a:solidFill xmlns:a="http://schemas.openxmlformats.org/drawingml/2006/main">
                <a:schemeClr val="accent5"/>
              </a:solidFill>
              <a:ln xmlns:a="http://schemas.openxmlformats.org/drawingml/2006/main" w="19050">
                <a:solidFill>
                  <a:schemeClr val="lt1"/>
                </a:solidFill>
                <a:prstDash val="solid"/>
              </a:ln>
            </spPr>
          </dPt>
          <cat>
            <strRef>
              <f>D_Family_Screening!$A$67:$A$71</f>
              <strCache>
                <ptCount val="5"/>
                <pt idx="0">
                  <v>Very important</v>
                </pt>
                <pt idx="1">
                  <v>Important</v>
                </pt>
                <pt idx="2">
                  <v>Not important</v>
                </pt>
                <pt idx="3">
                  <v>Slightly important</v>
                </pt>
                <pt idx="4">
                  <v>(Missing)</v>
                </pt>
              </strCache>
            </strRef>
          </cat>
          <val>
            <numRef>
              <f>D_Family_Screening!$B$67:$B$71</f>
              <numCache>
                <formatCode>General</formatCode>
                <ptCount val="5"/>
                <pt idx="0">
                  <v>118</v>
                </pt>
                <pt idx="1">
                  <v>70</v>
                </pt>
                <pt idx="2">
                  <v>2</v>
                </pt>
                <pt idx="3">
                  <v>8</v>
                </pt>
                <pt idx="4">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s>
</file>

<file path=xl/drawings/_rels/drawing2.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 Type="http://schemas.openxmlformats.org/officeDocument/2006/relationships/chart" Target="/xl/charts/chart15.xml" Id="rId3"/><Relationship Type="http://schemas.openxmlformats.org/officeDocument/2006/relationships/chart" Target="/xl/charts/chart16.xml" Id="rId4"/><Relationship Type="http://schemas.openxmlformats.org/officeDocument/2006/relationships/chart" Target="/xl/charts/chart17.xml" Id="rId5"/><Relationship Type="http://schemas.openxmlformats.org/officeDocument/2006/relationships/chart" Target="/xl/charts/chart18.xml" Id="rId6"/><Relationship Type="http://schemas.openxmlformats.org/officeDocument/2006/relationships/chart" Target="/xl/charts/chart19.xml" Id="rId7"/><Relationship Type="http://schemas.openxmlformats.org/officeDocument/2006/relationships/chart" Target="/xl/charts/chart20.xml" Id="rId8"/><Relationship Type="http://schemas.openxmlformats.org/officeDocument/2006/relationships/chart" Target="/xl/charts/chart21.xml" Id="rId9"/><Relationship Type="http://schemas.openxmlformats.org/officeDocument/2006/relationships/chart" Target="/xl/charts/chart22.xml" Id="rId10"/><Relationship Type="http://schemas.openxmlformats.org/officeDocument/2006/relationships/chart" Target="/xl/charts/chart23.xml" Id="rId11"/><Relationship Type="http://schemas.openxmlformats.org/officeDocument/2006/relationships/chart" Target="/xl/charts/chart24.xml" Id="rId12"/><Relationship Type="http://schemas.openxmlformats.org/officeDocument/2006/relationships/chart" Target="/xl/charts/chart25.xml" Id="rId13"/><Relationship Type="http://schemas.openxmlformats.org/officeDocument/2006/relationships/chart" Target="/xl/charts/chart26.xml" Id="rId14"/><Relationship Type="http://schemas.openxmlformats.org/officeDocument/2006/relationships/chart" Target="/xl/charts/chart27.xml" Id="rId15"/></Relationships>
</file>

<file path=xl/drawings/_rels/drawing3.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s>
</file>

<file path=xl/drawings/_rels/drawing4.xml.rels><Relationships xmlns="http://schemas.openxmlformats.org/package/2006/relationships"><Relationship Type="http://schemas.openxmlformats.org/officeDocument/2006/relationships/chart" Target="/xl/charts/chart33.xml" Id="rId1"/><Relationship Type="http://schemas.openxmlformats.org/officeDocument/2006/relationships/chart" Target="/xl/charts/chart34.xml" Id="rId2"/><Relationship Type="http://schemas.openxmlformats.org/officeDocument/2006/relationships/chart" Target="/xl/charts/chart35.xml" Id="rId3"/><Relationship Type="http://schemas.openxmlformats.org/officeDocument/2006/relationships/chart" Target="/xl/charts/chart36.xml" Id="rId4"/><Relationship Type="http://schemas.openxmlformats.org/officeDocument/2006/relationships/chart" Target="/xl/charts/chart37.xml" Id="rId5"/><Relationship Type="http://schemas.openxmlformats.org/officeDocument/2006/relationships/chart" Target="/xl/charts/chart38.xml" Id="rId6"/><Relationship Type="http://schemas.openxmlformats.org/officeDocument/2006/relationships/chart" Target="/xl/charts/chart39.xml" Id="rId7"/><Relationship Type="http://schemas.openxmlformats.org/officeDocument/2006/relationships/chart" Target="/xl/charts/chart40.xml" Id="rId8"/></Relationships>
</file>

<file path=xl/drawings/drawing1.xml><?xml version="1.0" encoding="utf-8"?>
<wsDr xmlns="http://schemas.openxmlformats.org/drawingml/2006/spreadsheetDrawing">
  <twoCellAnchor>
    <from>
      <col>4</col>
      <colOff>0</colOff>
      <row>4</row>
      <rowOff>0</rowOff>
    </from>
    <to>
      <col>12</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0</colOff>
      <row>21</row>
      <rowOff>0</rowOff>
    </from>
    <to>
      <col>12</col>
      <colOff>0</colOff>
      <row>37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4</col>
      <colOff>0</colOff>
      <row>38</row>
      <rowOff>0</rowOff>
    </from>
    <to>
      <col>12</col>
      <colOff>0</colOff>
      <row>54</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4</col>
      <colOff>0</colOff>
      <row>55</row>
      <rowOff>0</rowOff>
    </from>
    <to>
      <col>12</col>
      <colOff>0</colOff>
      <row>71</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4</col>
      <colOff>0</colOff>
      <row>72</row>
      <rowOff>0</rowOff>
    </from>
    <to>
      <col>12</col>
      <colOff>0</colOff>
      <row>88</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4</col>
      <colOff>0</colOff>
      <row>88</row>
      <rowOff>182879</rowOff>
    </from>
    <to>
      <col>12</col>
      <colOff>0</colOff>
      <row>104</row>
      <rowOff>182879</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12</col>
      <colOff>0</colOff>
      <row>4</row>
      <rowOff>0</rowOff>
    </from>
    <to>
      <col>20</col>
      <colOff>0</colOff>
      <row>20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12</col>
      <colOff>0</colOff>
      <row>21</row>
      <rowOff>0</rowOff>
    </from>
    <to>
      <col>20</col>
      <colOff>0</colOff>
      <row>40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12</col>
      <colOff>0</colOff>
      <row>41</row>
      <rowOff>0</rowOff>
    </from>
    <to>
      <col>20</col>
      <colOff>0</colOff>
      <row>57</row>
      <rowOff>0</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from>
      <col>12</col>
      <colOff>0</colOff>
      <row>58</row>
      <rowOff>0</rowOff>
    </from>
    <to>
      <col>20</col>
      <colOff>0</colOff>
      <row>74</row>
      <rowOff>0</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twoCellAnchor>
  <twoCellAnchor>
    <from>
      <col>12</col>
      <colOff>0</colOff>
      <row>75</row>
      <rowOff>0</rowOff>
    </from>
    <to>
      <col>20</col>
      <colOff>0</colOff>
      <row>91</row>
      <rowOff>0</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twoCellAnchor>
  <twoCellAnchor>
    <from>
      <col>12</col>
      <colOff>0</colOff>
      <row>92</row>
      <rowOff>0</rowOff>
    </from>
    <to>
      <col>20</col>
      <colOff>0</colOff>
      <row>111</row>
      <rowOff>0</rowOff>
    </to>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twoCellAnchor>
</wsDr>
</file>

<file path=xl/drawings/drawing2.xml><?xml version="1.0" encoding="utf-8"?>
<wsDr xmlns="http://schemas.openxmlformats.org/drawingml/2006/spreadsheetDrawing">
  <twoCellAnchor>
    <from>
      <col>4</col>
      <colOff>0</colOff>
      <row>4</row>
      <rowOff>0</rowOff>
    </from>
    <to>
      <col>12</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0</colOff>
      <row>19</row>
      <rowOff>0</rowOff>
    </from>
    <to>
      <col>12</col>
      <colOff>0</colOff>
      <row>35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4</col>
      <colOff>0</colOff>
      <row>36</row>
      <rowOff>0</rowOff>
    </from>
    <to>
      <col>12</col>
      <colOff>0</colOff>
      <row>52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4</col>
      <colOff>0</colOff>
      <row>53</row>
      <rowOff>0</rowOff>
    </from>
    <to>
      <col>12</col>
      <colOff>0</colOff>
      <row>69</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4</col>
      <colOff>0</colOff>
      <row>70</row>
      <rowOff>0</rowOff>
    </from>
    <to>
      <col>12</col>
      <colOff>0</colOff>
      <row>86</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4</col>
      <colOff>0</colOff>
      <row>87</row>
      <rowOff>0</rowOff>
    </from>
    <to>
      <col>12</col>
      <colOff>0</colOff>
      <row>103</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12</col>
      <colOff>0</colOff>
      <row>4</row>
      <rowOff>0</rowOff>
    </from>
    <to>
      <col>20</col>
      <colOff>0</colOff>
      <row>18</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12</col>
      <colOff>0</colOff>
      <row>19</row>
      <rowOff>0</rowOff>
    </from>
    <to>
      <col>20</col>
      <colOff>0</colOff>
      <row>35</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12</col>
      <colOff>0</colOff>
      <row>36</row>
      <rowOff>0</rowOff>
    </from>
    <to>
      <col>20</col>
      <colOff>0</colOff>
      <row>52</row>
      <rowOff>0</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from>
      <col>12</col>
      <colOff>0</colOff>
      <row>53</row>
      <rowOff>0</rowOff>
    </from>
    <to>
      <col>20</col>
      <colOff>0</colOff>
      <row>69</row>
      <rowOff>0</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twoCellAnchor>
  <twoCellAnchor>
    <from>
      <col>12</col>
      <colOff>0</colOff>
      <row>70</row>
      <rowOff>0</rowOff>
    </from>
    <to>
      <col>20</col>
      <colOff>0</colOff>
      <row>86</row>
      <rowOff>0</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twoCellAnchor>
  <twoCellAnchor>
    <from>
      <col>12</col>
      <colOff>0</colOff>
      <row>87</row>
      <rowOff>0</rowOff>
    </from>
    <to>
      <col>20</col>
      <colOff>0</colOff>
      <row>103</row>
      <rowOff>0</rowOff>
    </to>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twoCellAnchor>
  <twoCellAnchor>
    <from>
      <col>19</col>
      <colOff>609599</colOff>
      <row>4</row>
      <rowOff>0</rowOff>
    </from>
    <to>
      <col>28</col>
      <colOff>609599</colOff>
      <row>25</row>
      <rowOff>0</rowOff>
    </to>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twoCellAnchor>
  <twoCellAnchor>
    <from>
      <col>19</col>
      <colOff>609599</colOff>
      <row>26</row>
      <rowOff>0</rowOff>
    </from>
    <to>
      <col>28</col>
      <colOff>609599</colOff>
      <row>42</row>
      <rowOff>0</rowOff>
    </to>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twoCellAnchor>
  <twoCellAnchor>
    <from>
      <col>19</col>
      <colOff>609599</colOff>
      <row>43</row>
      <rowOff>0</rowOff>
    </from>
    <to>
      <col>28</col>
      <colOff>609599</colOff>
      <row>59</row>
      <rowOff>0</rowOff>
    </to>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twoCellAnchor>
</wsDr>
</file>

<file path=xl/drawings/drawing3.xml><?xml version="1.0" encoding="utf-8"?>
<wsDr xmlns="http://schemas.openxmlformats.org/drawingml/2006/spreadsheetDrawing">
  <twoCellAnchor>
    <from>
      <col>4</col>
      <colOff>0</colOff>
      <row>4</row>
      <rowOff>0</rowOff>
    </from>
    <to>
      <col>12</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0</colOff>
      <row>21</row>
      <rowOff>0</rowOff>
    </from>
    <to>
      <col>12</col>
      <colOff>0</colOff>
      <row>37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4</col>
      <colOff>0</colOff>
      <row>38</row>
      <rowOff>0</rowOff>
    </from>
    <to>
      <col>12</col>
      <colOff>0</colOff>
      <row>54</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12</col>
      <colOff>0</colOff>
      <row>4</row>
      <rowOff>0</rowOff>
    </from>
    <to>
      <col>20</col>
      <colOff>0</colOff>
      <row>23</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12</col>
      <colOff>0</colOff>
      <row>24</row>
      <rowOff>0</rowOff>
    </from>
    <to>
      <col>20</col>
      <colOff>0</colOff>
      <row>43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4.xml><?xml version="1.0" encoding="utf-8"?>
<wsDr xmlns="http://schemas.openxmlformats.org/drawingml/2006/spreadsheetDrawing">
  <twoCellAnchor>
    <from>
      <col>4</col>
      <colOff>0</colOff>
      <row>4</row>
      <rowOff>0</rowOff>
    </from>
    <to>
      <col>12</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0</colOff>
      <row>21</row>
      <rowOff>0</rowOff>
    </from>
    <to>
      <col>12</col>
      <colOff>0</colOff>
      <row>37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4</col>
      <colOff>0</colOff>
      <row>38</row>
      <rowOff>0</rowOff>
    </from>
    <to>
      <col>12</col>
      <colOff>0</colOff>
      <row>54</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4</col>
      <colOff>0</colOff>
      <row>55</row>
      <rowOff>0</rowOff>
    </from>
    <to>
      <col>12</col>
      <colOff>0</colOff>
      <row>71</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4</col>
      <colOff>0</colOff>
      <row>72</row>
      <rowOff>0</rowOff>
    </from>
    <to>
      <col>12</col>
      <colOff>0</colOff>
      <row>88</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12</col>
      <colOff>0</colOff>
      <row>4</row>
      <rowOff>0</rowOff>
    </from>
    <to>
      <col>20</col>
      <colOff>0</colOff>
      <row>23</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12</col>
      <colOff>0</colOff>
      <row>24</row>
      <rowOff>0</rowOff>
    </from>
    <to>
      <col>20</col>
      <colOff>0</colOff>
      <row>40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12</col>
      <colOff>0</colOff>
      <row>41</row>
      <rowOff>0</rowOff>
    </from>
    <to>
      <col>20</col>
      <colOff>0</colOff>
      <row>57</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tables/table1.xml><?xml version="1.0" encoding="utf-8"?>
<table xmlns="http://schemas.openxmlformats.org/spreadsheetml/2006/main" id="1" name="AgeStatistics" displayName="AgeStatistics" ref="A6:B10" headerRowCount="1" totalsRowShown="0">
  <autoFilter ref="A6:B10"/>
  <tableColumns count="2">
    <tableColumn id="1" name="Statist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AgeGroupDistribution" displayName="AgeGroupDistribution" ref="A12:C17" headerRowCount="1" totalsRowShown="0" headerRowDxfId="23">
  <autoFilter ref="A12:C17"/>
  <tableColumns count="3">
    <tableColumn id="1" name="Age Group"/>
    <tableColumn id="2" name="Frequency"/>
    <tableColumn id="3" name="Percentage" dataDxfId="22"/>
  </tableColumns>
  <tableStyleInfo name="TableStyleMedium2" showFirstColumn="0" showLastColumn="0" showRowStripes="1" showColumnStripes="0"/>
</table>
</file>

<file path=xl/tables/table3.xml><?xml version="1.0" encoding="utf-8"?>
<table xmlns="http://schemas.openxmlformats.org/spreadsheetml/2006/main" id="3" name="GenderDistribution" displayName="GenderDistribution" ref="A21:C24" headerRowCount="1" totalsRowShown="0" headerRowDxfId="21">
  <autoFilter ref="A21:C24"/>
  <tableColumns count="3">
    <tableColumn id="1" name="Category"/>
    <tableColumn id="2" name="Frequency"/>
    <tableColumn id="3" name="Percentage" dataDxfId="20"/>
  </tableColumns>
  <tableStyleInfo name="TableStyleMedium2" showFirstColumn="0" showLastColumn="0" showRowStripes="1" showColumnStripes="0"/>
</table>
</file>

<file path=xl/tables/table4.xml><?xml version="1.0" encoding="utf-8"?>
<table xmlns="http://schemas.openxmlformats.org/spreadsheetml/2006/main" id="4" name="EthnicityDistribution" displayName="EthnicityDistribution" ref="A28:C31" headerRowCount="1" totalsRowShown="0" headerRowDxfId="19">
  <autoFilter ref="A28:C31"/>
  <tableColumns count="3">
    <tableColumn id="1" name="Category"/>
    <tableColumn id="2" name="Frequency"/>
    <tableColumn id="3" name="Percentage" dataDxfId="18"/>
  </tableColumns>
  <tableStyleInfo name="TableStyleMedium2" showFirstColumn="0" showLastColumn="0" showRowStripes="1" showColumnStripes="0"/>
</table>
</file>

<file path=xl/tables/table5.xml><?xml version="1.0" encoding="utf-8"?>
<table xmlns="http://schemas.openxmlformats.org/spreadsheetml/2006/main" id="5" name="ReligionDistribution" displayName="ReligionDistribution" ref="A35:C40" headerRowCount="1" totalsRowShown="0" headerRowDxfId="17">
  <autoFilter ref="A35:C40"/>
  <tableColumns count="3">
    <tableColumn id="1" name="Category"/>
    <tableColumn id="2" name="Frequency"/>
    <tableColumn id="3" name="Percentage" dataDxfId="16"/>
  </tableColumns>
  <tableStyleInfo name="TableStyleMedium2" showFirstColumn="0" showLastColumn="0" showRowStripes="1" showColumnStripes="0"/>
</table>
</file>

<file path=xl/tables/table6.xml><?xml version="1.0" encoding="utf-8"?>
<table xmlns="http://schemas.openxmlformats.org/spreadsheetml/2006/main" id="6" name="OccupationDistribution" displayName="OccupationDistribution" ref="A44:C49" headerRowCount="1" totalsRowShown="0" headerRowDxfId="15">
  <autoFilter ref="A44:C49"/>
  <tableColumns count="3">
    <tableColumn id="1" name="Category"/>
    <tableColumn id="2" name="Frequency"/>
    <tableColumn id="3" name="Percentage" dataDxfId="14"/>
  </tableColumns>
  <tableStyleInfo name="TableStyleMedium2" showFirstColumn="0" showLastColumn="0" showRowStripes="1" showColumnStripes="0"/>
</table>
</file>

<file path=xl/tables/table7.xml><?xml version="1.0" encoding="utf-8"?>
<table xmlns="http://schemas.openxmlformats.org/spreadsheetml/2006/main" id="7" name="MonthlyIncomeDistribution" displayName="MonthlyIncomeDistribution" ref="A53:C58" headerRowCount="1" totalsRowShown="0" headerRowDxfId="13">
  <autoFilter ref="A53:C58"/>
  <tableColumns count="3">
    <tableColumn id="1" name="Category"/>
    <tableColumn id="2" name="Frequency"/>
    <tableColumn id="3" name="Percentage" dataDxfId="12"/>
  </tableColumns>
  <tableStyleInfo name="TableStyleMedium2" showFirstColumn="0" showLastColumn="0" showRowStripes="1" showColumnStripes="0"/>
</table>
</file>

<file path=xl/tables/table8.xml><?xml version="1.0" encoding="utf-8"?>
<table xmlns="http://schemas.openxmlformats.org/spreadsheetml/2006/main" id="8" name="EducationLevelDistribution" displayName="EducationLevelDistribution" ref="A62:C67" headerRowCount="1" totalsRowShown="0" headerRowDxfId="11">
  <autoFilter ref="A62:C67"/>
  <tableColumns count="3">
    <tableColumn id="1" name="Category"/>
    <tableColumn id="2" name="Frequency"/>
    <tableColumn id="3" name="Percentage" dataDxfId="10"/>
  </tableColumns>
  <tableStyleInfo name="TableStyleMedium2" showFirstColumn="0" showLastColumn="0" showRowStripes="1" showColumnStripes="0"/>
</table>
</file>

<file path=xl/tables/table9.xml><?xml version="1.0" encoding="utf-8"?>
<table xmlns="http://schemas.openxmlformats.org/spreadsheetml/2006/main" id="9" name="ResidingProvinceDistribution" displayName="ResidingProvinceDistribution" ref="A71:C80" headerRowCount="1" totalsRowShown="0" headerRowDxfId="9">
  <autoFilter ref="A71:C80"/>
  <tableColumns count="3">
    <tableColumn id="1" name="Category"/>
    <tableColumn id="2" name="Frequency"/>
    <tableColumn id="3" name="Percentage" dataDxfId="8"/>
  </tableColumns>
  <tableStyleInfo name="TableStyleMedium2" showFirstColumn="0" showLastColumn="0" showRowStripes="1" showColumnStripes="0"/>
</table>
</file>

<file path=xl/tables/table10.xml><?xml version="1.0" encoding="utf-8"?>
<table xmlns="http://schemas.openxmlformats.org/spreadsheetml/2006/main" id="10" name="MaritalStatusDistribution" displayName="MaritalStatusDistribution" ref="A84:C86" headerRowCount="1" totalsRowShown="0" headerRowDxfId="7">
  <autoFilter ref="A84:C86"/>
  <tableColumns count="3">
    <tableColumn id="1" name="Category"/>
    <tableColumn id="2" name="Frequency"/>
    <tableColumn id="3" name="Percentage" dataDxfId="6"/>
  </tableColumns>
  <tableStyleInfo name="TableStyleMedium2" showFirstColumn="0" showLastColumn="0" showRowStripes="1" showColumnStripes="0"/>
</table>
</file>

<file path=xl/tables/table11.xml><?xml version="1.0" encoding="utf-8"?>
<table xmlns="http://schemas.openxmlformats.org/spreadsheetml/2006/main" id="11" name="ChildrenDistribution" displayName="ChildrenDistribution" ref="A90:C94" headerRowCount="1" totalsRowShown="0" headerRowDxfId="5">
  <autoFilter ref="A90:C94"/>
  <tableColumns count="3">
    <tableColumn id="1" name="Category"/>
    <tableColumn id="2" name="Frequency"/>
    <tableColumn id="3" name="Percentage" dataDxfId="4"/>
  </tableColumns>
  <tableStyleInfo name="TableStyleMedium2" showFirstColumn="0" showLastColumn="0" showRowStripes="1" showColumnStripes="0"/>
</table>
</file>

<file path=xl/tables/table12.xml><?xml version="1.0" encoding="utf-8"?>
<table xmlns="http://schemas.openxmlformats.org/spreadsheetml/2006/main" id="12" name="FamilyHistoryDistribution" displayName="FamilyHistoryDistribution" ref="A98:C102" headerRowCount="1" totalsRowShown="0" headerRowDxfId="3">
  <autoFilter ref="A98:C102"/>
  <tableColumns count="3">
    <tableColumn id="1" name="Category"/>
    <tableColumn id="2" name="Frequency"/>
    <tableColumn id="3" name="Percentage" dataDxfId="2"/>
  </tableColumns>
  <tableStyleInfo name="TableStyleMedium2" showFirstColumn="0" showLastColumn="0" showRowStripes="1" showColumnStripes="0"/>
</table>
</file>

<file path=xl/tables/table13.xml><?xml version="1.0" encoding="utf-8"?>
<table xmlns="http://schemas.openxmlformats.org/spreadsheetml/2006/main" id="13" name="PlaceOfDiagnosisDistribution" displayName="PlaceOfDiagnosisDistribution" ref="A105:C111" headerRowCount="1" totalsRowShown="0" headerRowDxfId="1">
  <autoFilter ref="A105:C111"/>
  <tableColumns count="3">
    <tableColumn id="1" name="Category"/>
    <tableColumn id="2" name="Frequency"/>
    <tableColumn id="3" name="Percentag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 Type="http://schemas.openxmlformats.org/officeDocument/2006/relationships/table" Target="/xl/tables/table6.xml" Id="rId7"/><Relationship Type="http://schemas.openxmlformats.org/officeDocument/2006/relationships/table" Target="/xl/tables/table7.xml" Id="rId8"/><Relationship Type="http://schemas.openxmlformats.org/officeDocument/2006/relationships/table" Target="/xl/tables/table8.xml" Id="rId9"/><Relationship Type="http://schemas.openxmlformats.org/officeDocument/2006/relationships/table" Target="/xl/tables/table9.xml" Id="rId10"/><Relationship Type="http://schemas.openxmlformats.org/officeDocument/2006/relationships/table" Target="/xl/tables/table10.xml" Id="rId11"/><Relationship Type="http://schemas.openxmlformats.org/officeDocument/2006/relationships/table" Target="/xl/tables/table11.xml" Id="rId12"/><Relationship Type="http://schemas.openxmlformats.org/officeDocument/2006/relationships/table" Target="/xl/tables/table12.xml" Id="rId13"/><Relationship Type="http://schemas.openxmlformats.org/officeDocument/2006/relationships/table" Target="/xl/tables/table13.xml" Id="rId14"/></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CR202"/>
  <sheetViews>
    <sheetView workbookViewId="0">
      <selection activeCell="A1" sqref="A1"/>
    </sheetView>
  </sheetViews>
  <sheetFormatPr baseColWidth="8" defaultRowHeight="14.45"/>
  <sheetData>
    <row r="1">
      <c r="A1" t="inlineStr">
        <is>
          <t>start</t>
        </is>
      </c>
      <c r="B1" t="inlineStr">
        <is>
          <t>end</t>
        </is>
      </c>
      <c r="C1" t="inlineStr">
        <is>
          <t>Part A – Basic Information</t>
        </is>
      </c>
      <c r="D1" t="inlineStr">
        <is>
          <t xml:space="preserve">1. Age (What was your age at last birthday?): </t>
        </is>
      </c>
      <c r="E1" t="inlineStr">
        <is>
          <t>2. Gender:</t>
        </is>
      </c>
      <c r="F1" t="inlineStr">
        <is>
          <t>3. Ethnicity:</t>
        </is>
      </c>
      <c r="G1" t="inlineStr">
        <is>
          <t>Enter ethnicity here</t>
        </is>
      </c>
      <c r="H1" t="inlineStr">
        <is>
          <t>4. Religion</t>
        </is>
      </c>
      <c r="I1" t="inlineStr">
        <is>
          <t>Enter religion here</t>
        </is>
      </c>
      <c r="J1" t="inlineStr">
        <is>
          <t xml:space="preserve"> 5. Occupation:</t>
        </is>
      </c>
      <c r="K1" t="inlineStr">
        <is>
          <t>6. Monthly Income (LKR):</t>
        </is>
      </c>
      <c r="L1" t="inlineStr">
        <is>
          <t>7. Education Level:</t>
        </is>
      </c>
      <c r="M1" t="inlineStr">
        <is>
          <t>8. Residing Province:</t>
        </is>
      </c>
      <c r="N1" t="inlineStr">
        <is>
          <t>9. Marital Status</t>
        </is>
      </c>
      <c r="O1" t="inlineStr">
        <is>
          <t xml:space="preserve">10. Do you have children? </t>
        </is>
      </c>
      <c r="P1" t="inlineStr">
        <is>
          <t>11. Do you have a family history of an inherited blood disorder?</t>
        </is>
      </c>
      <c r="Q1" t="inlineStr">
        <is>
          <t>12. If yes, please specify</t>
        </is>
      </c>
      <c r="R1" t="inlineStr">
        <is>
          <t xml:space="preserve">13. When were you diagnosed as a carrier? (Year): </t>
        </is>
      </c>
      <c r="S1" t="inlineStr">
        <is>
          <t>14. Where were you diagnosed as a thalassemia carrier?</t>
        </is>
      </c>
      <c r="T1" t="inlineStr">
        <is>
          <t>Part B – Knowledge on Thalassemia</t>
        </is>
      </c>
      <c r="U1" t="inlineStr">
        <is>
          <t>15. Is thalassemia a blood-related disease?</t>
        </is>
      </c>
      <c r="V1" t="inlineStr">
        <is>
          <t>16. What are the clinical forms of thalassemia? (Tick all that apply)</t>
        </is>
      </c>
      <c r="W1" t="inlineStr">
        <is>
          <t xml:space="preserve">16. What are the clinical forms of thalassemia? (Tick all that apply)/Thalassemia major (severe form)  </t>
        </is>
      </c>
      <c r="X1" t="inlineStr">
        <is>
          <t>16. What are the clinical forms of thalassemia? (Tick all that apply)/Thalassemia minor or trait (carrier form)</t>
        </is>
      </c>
      <c r="Y1" t="inlineStr">
        <is>
          <t xml:space="preserve">16. What are the clinical forms of thalassemia? (Tick all that apply)/Thalassemia intermedia (moderate form) </t>
        </is>
      </c>
      <c r="Z1" t="inlineStr">
        <is>
          <t>16. What are the clinical forms of thalassemia? (Tick all that apply)/I don’t know</t>
        </is>
      </c>
      <c r="AA1" t="inlineStr">
        <is>
          <t xml:space="preserve"> 17. What is the most severe form of thalassemia?</t>
        </is>
      </c>
      <c r="AB1" t="inlineStr">
        <is>
          <t xml:space="preserve"> 17. What is the most severe form of thalassemia?/Thalassemia major (severe form)  </t>
        </is>
      </c>
      <c r="AC1" t="inlineStr">
        <is>
          <t xml:space="preserve"> 17. What is the most severe form of thalassemia?/Thalassemia minor or trait (carrier form)</t>
        </is>
      </c>
      <c r="AD1" t="inlineStr">
        <is>
          <t xml:space="preserve"> 17. What is the most severe form of thalassemia?/Thalassemia intermedia (moderate form) </t>
        </is>
      </c>
      <c r="AE1" t="inlineStr">
        <is>
          <t xml:space="preserve"> 17. What is the most severe form of thalassemia?/I don’t know</t>
        </is>
      </c>
      <c r="AF1" t="inlineStr">
        <is>
          <t>18. What form of thalassemia do you have?</t>
        </is>
      </c>
      <c r="AG1" t="inlineStr">
        <is>
          <t xml:space="preserve">18. What form of thalassemia do you have?/Thalassemia major (severe form)  </t>
        </is>
      </c>
      <c r="AH1" t="inlineStr">
        <is>
          <t>18. What form of thalassemia do you have?/Thalassemia minor or trait (carrier form)</t>
        </is>
      </c>
      <c r="AI1" t="inlineStr">
        <is>
          <t xml:space="preserve">18. What form of thalassemia do you have?/Thalassemia intermedia (moderate form) </t>
        </is>
      </c>
      <c r="AJ1" t="inlineStr">
        <is>
          <t>18. What form of thalassemia do you have?/I don’t know</t>
        </is>
      </c>
      <c r="AK1" t="inlineStr">
        <is>
          <t>19. Does thalassemia major require lifelong treatment?</t>
        </is>
      </c>
      <c r="AL1" t="inlineStr">
        <is>
          <t>20. Can thalassemia major be cured?</t>
        </is>
      </c>
      <c r="AM1" t="inlineStr">
        <is>
          <t>21. Can the spread of thalassemia be prevented?</t>
        </is>
      </c>
      <c r="AN1" t="inlineStr">
        <is>
          <t>22. How is thalassemia transmitted?</t>
        </is>
      </c>
      <c r="AO1" t="inlineStr">
        <is>
          <t>23. Is a thalassemia carrier usually sick or healthy?</t>
        </is>
      </c>
      <c r="AP1" t="inlineStr">
        <is>
          <t>24. A child born from two thalassemia carriers will be:</t>
        </is>
      </c>
      <c r="AQ1" t="inlineStr">
        <is>
          <t>25. After diagnosis, was counseling/information sufficient?</t>
        </is>
      </c>
      <c r="AR1" t="inlineStr">
        <is>
          <t>26. How many thalassemia births occur in Sri Lanka per year?</t>
        </is>
      </c>
      <c r="AS1" t="inlineStr">
        <is>
          <t>27. Problems faced by thalassemia major patients (Tick all that apply):</t>
        </is>
      </c>
      <c r="AT1" t="inlineStr">
        <is>
          <t xml:space="preserve">27. Problems faced by thalassemia major patients (Tick all that apply):/Regular blood transfusions for life </t>
        </is>
      </c>
      <c r="AU1" t="inlineStr">
        <is>
          <t xml:space="preserve">27. Problems faced by thalassemia major patients (Tick all that apply):/Iron overload affecting heart and liver </t>
        </is>
      </c>
      <c r="AV1" t="inlineStr">
        <is>
          <t>27. Problems faced by thalassemia major patients (Tick all that apply):/Delayed growth and puberty</t>
        </is>
      </c>
      <c r="AW1" t="inlineStr">
        <is>
          <t xml:space="preserve">27. Problems faced by thalassemia major patients (Tick all that apply):/Risk of diabetes, infertility, and hormonal issues </t>
        </is>
      </c>
      <c r="AX1" t="inlineStr">
        <is>
          <t>27. Problems faced by thalassemia major patients (Tick all that apply):/Risk of infections from transfusions</t>
        </is>
      </c>
      <c r="AY1" t="inlineStr">
        <is>
          <t>27. Problems faced by thalassemia major patients (Tick all that apply):/Frequent nosebleeds</t>
        </is>
      </c>
      <c r="AZ1" t="inlineStr">
        <is>
          <t>27. Problems faced by thalassemia major patients (Tick all that apply):/Fatigue</t>
        </is>
      </c>
      <c r="BA1" t="inlineStr">
        <is>
          <t>27. Problems faced by thalassemia major patients (Tick all that apply):/Bone deformities</t>
        </is>
      </c>
      <c r="BB1" t="inlineStr">
        <is>
          <t xml:space="preserve">28. What should a thalassemia carrier do after diagnosis? (Tick all that apply) </t>
        </is>
      </c>
      <c r="BC1" t="inlineStr">
        <is>
          <t xml:space="preserve">28. What should a thalassemia carrier do after diagnosis? (Tick all that apply) / Get the partner tested before marriage  </t>
        </is>
      </c>
      <c r="BD1" t="inlineStr">
        <is>
          <t xml:space="preserve">28. What should a thalassemia carrier do after diagnosis? (Tick all that apply) /Get family members tested </t>
        </is>
      </c>
      <c r="BE1" t="inlineStr">
        <is>
          <t xml:space="preserve">28. What should a thalassemia carrier do after diagnosis? (Tick all that apply) /Ignore it </t>
        </is>
      </c>
      <c r="BF1" t="inlineStr">
        <is>
          <t>28. What should a thalassemia carrier do after diagnosis? (Tick all that apply) /I don’t know</t>
        </is>
      </c>
      <c r="BG1" t="inlineStr">
        <is>
          <t xml:space="preserve">29. How did you learn about thalassemia? </t>
        </is>
      </c>
      <c r="BH1" t="inlineStr">
        <is>
          <t xml:space="preserve">30. Are you willing to / Do you have a consanguineous marriage? </t>
        </is>
      </c>
      <c r="BI1" t="inlineStr">
        <is>
          <t xml:space="preserve">31. Do you accept marriage between two thalassemia carriers? </t>
        </is>
      </c>
      <c r="BJ1" t="inlineStr">
        <is>
          <t xml:space="preserve">32. How important is thalassemia screening before marriage? </t>
        </is>
      </c>
      <c r="BK1" t="inlineStr">
        <is>
          <t xml:space="preserve">33. What was your practice of partner screening? </t>
        </is>
      </c>
      <c r="BL1" t="inlineStr">
        <is>
          <t xml:space="preserve">If other please specify </t>
        </is>
      </c>
      <c r="BM1" t="inlineStr">
        <is>
          <t>34. If you did not disclose your carrier status to your partner before marriage, what was the reason?</t>
        </is>
      </c>
      <c r="BN1" t="inlineStr">
        <is>
          <t xml:space="preserve">If other please specify </t>
        </is>
      </c>
      <c r="BO1" t="inlineStr">
        <is>
          <t>Part D – Attitudes &amp; Practices Regarding Family Screening</t>
        </is>
      </c>
      <c r="BP1" t="inlineStr">
        <is>
          <t>35. Do you think is it important for your family members to undergo screening?</t>
        </is>
      </c>
      <c r="BQ1" t="inlineStr">
        <is>
          <t xml:space="preserve">36. Do your family members know your thalassemia status? </t>
        </is>
      </c>
      <c r="BR1" t="inlineStr">
        <is>
          <t>37. To what extent have your relatives undergone screening?</t>
        </is>
      </c>
      <c r="BS1" t="inlineStr">
        <is>
          <t xml:space="preserve">First-degree relatives (parents, siblings, children):
</t>
        </is>
      </c>
      <c r="BT1" t="inlineStr">
        <is>
          <t>Second-degree relatives (grandparents, uncles, aunts):</t>
        </is>
      </c>
      <c r="BU1" t="inlineStr">
        <is>
          <t>Third-degree relatives (cousins, etc.):</t>
        </is>
      </c>
      <c r="BV1" t="inlineStr">
        <is>
          <t>38. If not screened, what were the reasons? (Tick all that apply)</t>
        </is>
      </c>
      <c r="BW1" t="inlineStr">
        <is>
          <t xml:space="preserve">38. If not screened, what were the reasons? (Tick all that apply)/Lack of knowledge </t>
        </is>
      </c>
      <c r="BX1" t="inlineStr">
        <is>
          <t>38. If not screened, what were the reasons? (Tick all that apply)/Concern about stigma or discrimination</t>
        </is>
      </c>
      <c r="BY1" t="inlineStr">
        <is>
          <t>38. If not screened, what were the reasons? (Tick all that apply)/Fear of result</t>
        </is>
      </c>
      <c r="BZ1" t="inlineStr">
        <is>
          <t>38. If not screened, what were the reasons? (Tick all that apply)/Perception that screening was unnecessary</t>
        </is>
      </c>
      <c r="CA1" t="inlineStr">
        <is>
          <t>38. If not screened, what were the reasons? (Tick all that apply)/Cost or access issues</t>
        </is>
      </c>
      <c r="CB1" t="inlineStr">
        <is>
          <t>38. If not screened, what were the reasons? (Tick all that apply)/Other</t>
        </is>
      </c>
      <c r="CC1" t="inlineStr">
        <is>
          <t>If other please specify</t>
        </is>
      </c>
      <c r="CD1" t="inlineStr">
        <is>
          <t>39. How easy is it to convince relatives to undergo screening?</t>
        </is>
      </c>
      <c r="CE1" t="inlineStr">
        <is>
          <t>40. How important is cascade screening in thalassemia prevention?</t>
        </is>
      </c>
      <c r="CF1" t="inlineStr">
        <is>
          <t>_id</t>
        </is>
      </c>
      <c r="CG1" t="inlineStr">
        <is>
          <t>_uuid</t>
        </is>
      </c>
      <c r="CH1" t="inlineStr">
        <is>
          <t>_submission_time</t>
        </is>
      </c>
      <c r="CI1" t="inlineStr">
        <is>
          <t>_validation_status</t>
        </is>
      </c>
      <c r="CJ1" t="inlineStr">
        <is>
          <t>_notes</t>
        </is>
      </c>
      <c r="CK1" t="inlineStr">
        <is>
          <t>_status</t>
        </is>
      </c>
      <c r="CL1" t="inlineStr">
        <is>
          <t>_submitted_by</t>
        </is>
      </c>
      <c r="CM1" t="inlineStr">
        <is>
          <t>__version__</t>
        </is>
      </c>
      <c r="CN1" t="inlineStr">
        <is>
          <t>_tags</t>
        </is>
      </c>
      <c r="CO1" t="inlineStr">
        <is>
          <t>meta/rootUuid</t>
        </is>
      </c>
      <c r="CP1" t="inlineStr">
        <is>
          <t>_index</t>
        </is>
      </c>
      <c r="CQ1" t="inlineStr">
        <is>
          <t>Knowledge_Score</t>
        </is>
      </c>
      <c r="CR1" t="inlineStr">
        <is>
          <t>Knowledge_Score_Z_Score</t>
        </is>
      </c>
    </row>
    <row r="2">
      <c r="A2" s="1" t="n">
        <v>45957.84842907407</v>
      </c>
      <c r="B2" s="1" t="n">
        <v>45958.59958115741</v>
      </c>
      <c r="D2" t="inlineStr">
        <is>
          <t>29</t>
        </is>
      </c>
      <c r="E2" t="inlineStr">
        <is>
          <t>Female</t>
        </is>
      </c>
      <c r="F2" t="inlineStr">
        <is>
          <t>Sinhalese</t>
        </is>
      </c>
      <c r="H2" t="inlineStr">
        <is>
          <t>Buddhist</t>
        </is>
      </c>
      <c r="J2" t="inlineStr">
        <is>
          <t>Government sector</t>
        </is>
      </c>
      <c r="K2" t="inlineStr">
        <is>
          <t>&gt; 100,000</t>
        </is>
      </c>
      <c r="L2" t="inlineStr">
        <is>
          <t xml:space="preserve">Graduate </t>
        </is>
      </c>
      <c r="M2" t="inlineStr">
        <is>
          <t>Western</t>
        </is>
      </c>
      <c r="N2" t="inlineStr">
        <is>
          <t>Single</t>
        </is>
      </c>
      <c r="P2" t="inlineStr">
        <is>
          <t>No</t>
        </is>
      </c>
      <c r="R2" s="1" t="n">
        <v>44588</v>
      </c>
      <c r="S2" t="inlineStr">
        <is>
          <t>At workplace</t>
        </is>
      </c>
      <c r="U2" t="inlineStr">
        <is>
          <t>Yes</t>
        </is>
      </c>
      <c r="V2" t="inlineStr">
        <is>
          <t xml:space="preserve">Thalassemia major (severe form)   Thalassemia minor or trait (carrier form) Thalassemia intermedia (moderate form) </t>
        </is>
      </c>
      <c r="W2" t="n">
        <v>1</v>
      </c>
      <c r="X2" t="n">
        <v>1</v>
      </c>
      <c r="Y2" t="n">
        <v>1</v>
      </c>
      <c r="Z2" t="n">
        <v>0</v>
      </c>
      <c r="AA2" t="inlineStr">
        <is>
          <t xml:space="preserve">Thalassemia major (severe form)  </t>
        </is>
      </c>
      <c r="AB2" t="n">
        <v>1</v>
      </c>
      <c r="AC2" t="n">
        <v>0</v>
      </c>
      <c r="AD2" t="n">
        <v>0</v>
      </c>
      <c r="AE2" t="n">
        <v>0</v>
      </c>
      <c r="AF2" t="inlineStr">
        <is>
          <t>Thalassemia minor or trait (carrier form)</t>
        </is>
      </c>
      <c r="AG2" t="n">
        <v>0</v>
      </c>
      <c r="AH2" t="n">
        <v>1</v>
      </c>
      <c r="AI2" t="n">
        <v>0</v>
      </c>
      <c r="AJ2" t="n">
        <v>0</v>
      </c>
      <c r="AK2" t="inlineStr">
        <is>
          <t>Yes</t>
        </is>
      </c>
      <c r="AL2" t="inlineStr">
        <is>
          <t xml:space="preserve">Cannot be cured   </t>
        </is>
      </c>
      <c r="AM2" t="inlineStr">
        <is>
          <t xml:space="preserve">Can be prevented </t>
        </is>
      </c>
      <c r="AN2" t="inlineStr">
        <is>
          <t xml:space="preserve">From generation to generation (hereditary)  </t>
        </is>
      </c>
      <c r="AO2" t="inlineStr">
        <is>
          <t>Healthy</t>
        </is>
      </c>
      <c r="AP2" t="inlineStr">
        <is>
          <t>Always affected by thalassemia</t>
        </is>
      </c>
      <c r="AQ2" t="inlineStr">
        <is>
          <t xml:space="preserve">Yes </t>
        </is>
      </c>
      <c r="AR2" t="inlineStr">
        <is>
          <t>Don’t know</t>
        </is>
      </c>
      <c r="AS2" t="inlineStr">
        <is>
          <t>Regular blood transfusions for life  Iron overload affecting heart and liver  Delayed growth and puberty Risk of diabetes, infertility, and hormonal issues  Risk of infections from transfusions Fatigue Bone deformities</t>
        </is>
      </c>
      <c r="AT2" t="n">
        <v>1</v>
      </c>
      <c r="AU2" t="n">
        <v>1</v>
      </c>
      <c r="AV2" t="n">
        <v>1</v>
      </c>
      <c r="AW2" t="n">
        <v>1</v>
      </c>
      <c r="AX2" t="n">
        <v>1</v>
      </c>
      <c r="AY2" t="n">
        <v>0</v>
      </c>
      <c r="AZ2" t="n">
        <v>1</v>
      </c>
      <c r="BA2" t="n">
        <v>1</v>
      </c>
      <c r="BB2" t="inlineStr">
        <is>
          <t xml:space="preserve">Get family members tested </t>
        </is>
      </c>
      <c r="BC2" t="n">
        <v>0</v>
      </c>
      <c r="BD2" t="n">
        <v>1</v>
      </c>
      <c r="BE2" t="n">
        <v>0</v>
      </c>
      <c r="BF2" t="n">
        <v>0</v>
      </c>
      <c r="BG2" t="inlineStr">
        <is>
          <t xml:space="preserve">Healthcare staff (doctors and nurses) </t>
        </is>
      </c>
      <c r="BH2" t="inlineStr">
        <is>
          <t>Definitely not</t>
        </is>
      </c>
      <c r="BI2" t="inlineStr">
        <is>
          <t xml:space="preserve">No </t>
        </is>
      </c>
      <c r="BJ2" t="inlineStr">
        <is>
          <t xml:space="preserve">Very important </t>
        </is>
      </c>
      <c r="BP2" t="inlineStr">
        <is>
          <t xml:space="preserve">Agree </t>
        </is>
      </c>
      <c r="BQ2" t="inlineStr">
        <is>
          <t xml:space="preserve">Yes </t>
        </is>
      </c>
      <c r="BS2" t="inlineStr">
        <is>
          <t>Some</t>
        </is>
      </c>
      <c r="BT2" t="inlineStr">
        <is>
          <t>None</t>
        </is>
      </c>
      <c r="BU2" t="inlineStr">
        <is>
          <t>None</t>
        </is>
      </c>
      <c r="CD2" t="inlineStr">
        <is>
          <t xml:space="preserve">Somewhat easy </t>
        </is>
      </c>
      <c r="CE2" t="inlineStr">
        <is>
          <t xml:space="preserve"> Very important</t>
        </is>
      </c>
      <c r="CF2" t="n">
        <v>592509471</v>
      </c>
      <c r="CG2" t="inlineStr">
        <is>
          <t>a29717cc-88ed-4387-928a-fc40f63f9386</t>
        </is>
      </c>
      <c r="CH2" s="1" t="n">
        <v>45958.37041666666</v>
      </c>
      <c r="CK2" t="inlineStr">
        <is>
          <t>submitted_via_web</t>
        </is>
      </c>
      <c r="CM2" t="inlineStr">
        <is>
          <t>vteYUDpqfKnk39PHFZkvPS</t>
        </is>
      </c>
      <c r="CO2" t="inlineStr">
        <is>
          <t>uuid:a29717cc-88ed-4387-928a-fc40f63f9386</t>
        </is>
      </c>
      <c r="CP2" t="n">
        <v>1</v>
      </c>
      <c r="CQ2" t="n">
        <v>10</v>
      </c>
      <c r="CR2" t="n">
        <v>2.415668873805008</v>
      </c>
    </row>
    <row r="3">
      <c r="A3" s="1" t="n">
        <v>45958.69300106481</v>
      </c>
      <c r="B3" s="1" t="n">
        <v>45958.71385543981</v>
      </c>
      <c r="D3" t="inlineStr">
        <is>
          <t>25</t>
        </is>
      </c>
      <c r="E3" t="inlineStr">
        <is>
          <t>Female</t>
        </is>
      </c>
      <c r="F3" t="inlineStr">
        <is>
          <t>Sinhalese</t>
        </is>
      </c>
      <c r="H3" t="inlineStr">
        <is>
          <t>Buddhist</t>
        </is>
      </c>
      <c r="J3" t="inlineStr">
        <is>
          <t>Government sector</t>
        </is>
      </c>
      <c r="K3" t="inlineStr">
        <is>
          <t>51,000 – 100,000</t>
        </is>
      </c>
      <c r="L3" t="inlineStr">
        <is>
          <t xml:space="preserve">Graduate </t>
        </is>
      </c>
      <c r="M3" t="inlineStr">
        <is>
          <t xml:space="preserve">North Western </t>
        </is>
      </c>
      <c r="N3" t="inlineStr">
        <is>
          <t xml:space="preserve">Married </t>
        </is>
      </c>
      <c r="O3" t="inlineStr">
        <is>
          <t>No children</t>
        </is>
      </c>
      <c r="P3" t="inlineStr">
        <is>
          <t>No</t>
        </is>
      </c>
      <c r="R3" s="1" t="n">
        <v>44908</v>
      </c>
      <c r="S3" t="inlineStr">
        <is>
          <t xml:space="preserve">During school/university  </t>
        </is>
      </c>
      <c r="U3" t="inlineStr">
        <is>
          <t>Yes</t>
        </is>
      </c>
      <c r="V3" t="inlineStr">
        <is>
          <t>I don’t know</t>
        </is>
      </c>
      <c r="W3" t="n">
        <v>0</v>
      </c>
      <c r="X3" t="n">
        <v>0</v>
      </c>
      <c r="Y3" t="n">
        <v>0</v>
      </c>
      <c r="Z3" t="n">
        <v>1</v>
      </c>
      <c r="AA3" t="inlineStr">
        <is>
          <t>I don’t know</t>
        </is>
      </c>
      <c r="AB3" t="n">
        <v>0</v>
      </c>
      <c r="AC3" t="n">
        <v>0</v>
      </c>
      <c r="AD3" t="n">
        <v>0</v>
      </c>
      <c r="AE3" t="n">
        <v>1</v>
      </c>
      <c r="AF3" t="inlineStr">
        <is>
          <t>Thalassemia minor or trait (carrier form)</t>
        </is>
      </c>
      <c r="AG3" t="n">
        <v>0</v>
      </c>
      <c r="AH3" t="n">
        <v>1</v>
      </c>
      <c r="AI3" t="n">
        <v>0</v>
      </c>
      <c r="AJ3" t="n">
        <v>0</v>
      </c>
      <c r="AK3" t="inlineStr">
        <is>
          <t>Yes</t>
        </is>
      </c>
      <c r="AL3" t="inlineStr">
        <is>
          <t xml:space="preserve">Cannot be cured   </t>
        </is>
      </c>
      <c r="AM3" t="inlineStr">
        <is>
          <t xml:space="preserve">Can be prevented </t>
        </is>
      </c>
      <c r="AN3" t="inlineStr">
        <is>
          <t>As a contagious disease</t>
        </is>
      </c>
      <c r="AO3" t="inlineStr">
        <is>
          <t>Don’t know</t>
        </is>
      </c>
      <c r="AP3" t="inlineStr">
        <is>
          <t xml:space="preserve">Has a chance to be affected (e.g., 25%) </t>
        </is>
      </c>
      <c r="AQ3" t="inlineStr">
        <is>
          <t>No</t>
        </is>
      </c>
      <c r="AR3" t="inlineStr">
        <is>
          <t>Don’t know</t>
        </is>
      </c>
      <c r="AS3" t="inlineStr">
        <is>
          <t xml:space="preserve">Regular blood transfusions for life </t>
        </is>
      </c>
      <c r="AT3" t="n">
        <v>1</v>
      </c>
      <c r="AU3" t="n">
        <v>0</v>
      </c>
      <c r="AV3" t="n">
        <v>0</v>
      </c>
      <c r="AW3" t="n">
        <v>0</v>
      </c>
      <c r="AX3" t="n">
        <v>0</v>
      </c>
      <c r="AY3" t="n">
        <v>0</v>
      </c>
      <c r="AZ3" t="n">
        <v>0</v>
      </c>
      <c r="BA3" t="n">
        <v>0</v>
      </c>
      <c r="BB3" t="inlineStr">
        <is>
          <t>I don’t know</t>
        </is>
      </c>
      <c r="BC3" t="n">
        <v>0</v>
      </c>
      <c r="BD3" t="n">
        <v>0</v>
      </c>
      <c r="BE3" t="n">
        <v>0</v>
      </c>
      <c r="BF3" t="n">
        <v>1</v>
      </c>
      <c r="BG3" t="inlineStr">
        <is>
          <t xml:space="preserve">Healthcare staff (doctors and nurses) </t>
        </is>
      </c>
      <c r="BH3" t="inlineStr">
        <is>
          <t>Definitely not</t>
        </is>
      </c>
      <c r="BI3" t="inlineStr">
        <is>
          <t xml:space="preserve">Yes </t>
        </is>
      </c>
      <c r="BJ3" t="inlineStr">
        <is>
          <t xml:space="preserve">Important </t>
        </is>
      </c>
      <c r="BK3" t="inlineStr">
        <is>
          <t>Partner was screened before marriage</t>
        </is>
      </c>
      <c r="BP3" t="inlineStr">
        <is>
          <t xml:space="preserve">Agree </t>
        </is>
      </c>
      <c r="BQ3" t="inlineStr">
        <is>
          <t xml:space="preserve">Yes </t>
        </is>
      </c>
      <c r="BS3" t="inlineStr">
        <is>
          <t>All</t>
        </is>
      </c>
      <c r="CD3" t="inlineStr">
        <is>
          <t>Not sure</t>
        </is>
      </c>
      <c r="CE3" t="inlineStr">
        <is>
          <t xml:space="preserve"> Very important</t>
        </is>
      </c>
      <c r="CF3" t="n">
        <v>592644795</v>
      </c>
      <c r="CG3" t="inlineStr">
        <is>
          <t>f2205860-7205-4921-aba3-8261758a48d7</t>
        </is>
      </c>
      <c r="CH3" s="1" t="n">
        <v>45958.48471064815</v>
      </c>
      <c r="CK3" t="inlineStr">
        <is>
          <t>submitted_via_web</t>
        </is>
      </c>
      <c r="CM3" t="inlineStr">
        <is>
          <t>vteYUDpqfKnk39PHFZkvPS</t>
        </is>
      </c>
      <c r="CO3" t="inlineStr">
        <is>
          <t>uuid:f2205860-7205-4921-aba3-8261758a48d7</t>
        </is>
      </c>
      <c r="CP3" t="n">
        <v>2</v>
      </c>
      <c r="CQ3" t="n">
        <v>1</v>
      </c>
      <c r="CR3" t="n">
        <v>-1.097148644453239</v>
      </c>
    </row>
    <row r="4">
      <c r="A4" s="1" t="n">
        <v>45958.59958153935</v>
      </c>
      <c r="B4" s="1" t="n">
        <v>45958.75186392361</v>
      </c>
      <c r="D4" t="inlineStr">
        <is>
          <t>35</t>
        </is>
      </c>
      <c r="E4" t="inlineStr">
        <is>
          <t>Female</t>
        </is>
      </c>
      <c r="F4" t="inlineStr">
        <is>
          <t>Sinhalese</t>
        </is>
      </c>
      <c r="H4" t="inlineStr">
        <is>
          <t>Buddhist</t>
        </is>
      </c>
      <c r="J4" t="inlineStr">
        <is>
          <t>Private sector</t>
        </is>
      </c>
      <c r="K4" t="inlineStr">
        <is>
          <t>25,000 – 50,000</t>
        </is>
      </c>
      <c r="L4" t="inlineStr">
        <is>
          <t xml:space="preserve">Up to A/L </t>
        </is>
      </c>
      <c r="M4" t="inlineStr">
        <is>
          <t xml:space="preserve">North Western </t>
        </is>
      </c>
      <c r="N4" t="inlineStr">
        <is>
          <t>Single</t>
        </is>
      </c>
      <c r="P4" t="inlineStr">
        <is>
          <t>No</t>
        </is>
      </c>
      <c r="R4" s="1" t="n">
        <v>44615</v>
      </c>
      <c r="S4" t="inlineStr">
        <is>
          <t>At workplace</t>
        </is>
      </c>
      <c r="U4" t="inlineStr">
        <is>
          <t>Yes</t>
        </is>
      </c>
      <c r="V4" t="inlineStr">
        <is>
          <t>I don’t know</t>
        </is>
      </c>
      <c r="W4" t="n">
        <v>0</v>
      </c>
      <c r="X4" t="n">
        <v>0</v>
      </c>
      <c r="Y4" t="n">
        <v>0</v>
      </c>
      <c r="Z4" t="n">
        <v>1</v>
      </c>
      <c r="AA4" t="inlineStr">
        <is>
          <t>I don’t know</t>
        </is>
      </c>
      <c r="AB4" t="n">
        <v>0</v>
      </c>
      <c r="AC4" t="n">
        <v>0</v>
      </c>
      <c r="AD4" t="n">
        <v>0</v>
      </c>
      <c r="AE4" t="n">
        <v>1</v>
      </c>
      <c r="AF4" t="inlineStr">
        <is>
          <t>Thalassemia minor or trait (carrier form)</t>
        </is>
      </c>
      <c r="AG4" t="n">
        <v>0</v>
      </c>
      <c r="AH4" t="n">
        <v>1</v>
      </c>
      <c r="AI4" t="n">
        <v>0</v>
      </c>
      <c r="AJ4" t="n">
        <v>0</v>
      </c>
      <c r="AK4" t="inlineStr">
        <is>
          <t>Yes</t>
        </is>
      </c>
      <c r="AL4" t="inlineStr">
        <is>
          <t xml:space="preserve">Cannot be cured   </t>
        </is>
      </c>
      <c r="AM4" t="inlineStr">
        <is>
          <t xml:space="preserve">Can be prevented </t>
        </is>
      </c>
      <c r="AN4" t="inlineStr">
        <is>
          <t xml:space="preserve">From generation to generation (hereditary)  </t>
        </is>
      </c>
      <c r="AO4" t="inlineStr">
        <is>
          <t>Healthy</t>
        </is>
      </c>
      <c r="AP4" t="inlineStr">
        <is>
          <t xml:space="preserve">Has a chance to be affected (e.g., 25%) </t>
        </is>
      </c>
      <c r="AQ4" t="inlineStr">
        <is>
          <t xml:space="preserve">Yes </t>
        </is>
      </c>
      <c r="AR4" t="inlineStr">
        <is>
          <t>Don’t know</t>
        </is>
      </c>
      <c r="AS4" t="inlineStr">
        <is>
          <t>Regular blood transfusions for life  Delayed growth and puberty Fatigue</t>
        </is>
      </c>
      <c r="AT4" t="n">
        <v>1</v>
      </c>
      <c r="AU4" t="n">
        <v>0</v>
      </c>
      <c r="AV4" t="n">
        <v>1</v>
      </c>
      <c r="AW4" t="n">
        <v>0</v>
      </c>
      <c r="AX4" t="n">
        <v>0</v>
      </c>
      <c r="AY4" t="n">
        <v>0</v>
      </c>
      <c r="AZ4" t="n">
        <v>1</v>
      </c>
      <c r="BA4" t="n">
        <v>0</v>
      </c>
      <c r="BB4" t="inlineStr">
        <is>
          <t xml:space="preserve">Get family members tested </t>
        </is>
      </c>
      <c r="BC4" t="n">
        <v>0</v>
      </c>
      <c r="BD4" t="n">
        <v>1</v>
      </c>
      <c r="BE4" t="n">
        <v>0</v>
      </c>
      <c r="BF4" t="n">
        <v>0</v>
      </c>
      <c r="BG4" t="inlineStr">
        <is>
          <t>Only found out after screening</t>
        </is>
      </c>
      <c r="BH4" t="inlineStr">
        <is>
          <t>Definitely not</t>
        </is>
      </c>
      <c r="BI4" t="inlineStr">
        <is>
          <t xml:space="preserve">No </t>
        </is>
      </c>
      <c r="BJ4" t="inlineStr">
        <is>
          <t xml:space="preserve">Very important </t>
        </is>
      </c>
      <c r="BP4" t="inlineStr">
        <is>
          <t xml:space="preserve">Agree </t>
        </is>
      </c>
      <c r="BQ4" t="inlineStr">
        <is>
          <t xml:space="preserve">Yes </t>
        </is>
      </c>
      <c r="BS4" t="inlineStr">
        <is>
          <t>Some</t>
        </is>
      </c>
      <c r="BT4" t="inlineStr">
        <is>
          <t>Don't know</t>
        </is>
      </c>
      <c r="BU4" t="inlineStr">
        <is>
          <t>Don't know</t>
        </is>
      </c>
      <c r="CD4" t="inlineStr">
        <is>
          <t xml:space="preserve">Somewhat easy </t>
        </is>
      </c>
      <c r="CE4" t="inlineStr">
        <is>
          <t xml:space="preserve"> Very important</t>
        </is>
      </c>
      <c r="CF4" t="n">
        <v>592689657</v>
      </c>
      <c r="CG4" t="inlineStr">
        <is>
          <t>64666ac2-5910-4461-8067-1b616c0da687</t>
        </is>
      </c>
      <c r="CH4" s="1" t="n">
        <v>45958.52269675926</v>
      </c>
      <c r="CK4" t="inlineStr">
        <is>
          <t>submitted_via_web</t>
        </is>
      </c>
      <c r="CM4" t="inlineStr">
        <is>
          <t>vteYUDpqfKnk39PHFZkvPS</t>
        </is>
      </c>
      <c r="CO4" t="inlineStr">
        <is>
          <t>uuid:64666ac2-5910-4461-8067-1b616c0da687</t>
        </is>
      </c>
      <c r="CP4" t="n">
        <v>3</v>
      </c>
      <c r="CQ4" t="n">
        <v>3</v>
      </c>
      <c r="CR4" t="n">
        <v>-0.3165225292847399</v>
      </c>
    </row>
    <row r="5">
      <c r="A5" s="1" t="n">
        <v>45958.7570246875</v>
      </c>
      <c r="B5" s="1" t="n">
        <v>45958.76075979166</v>
      </c>
      <c r="D5" t="inlineStr">
        <is>
          <t>28</t>
        </is>
      </c>
      <c r="E5" t="inlineStr">
        <is>
          <t>Female</t>
        </is>
      </c>
      <c r="F5" t="inlineStr">
        <is>
          <t>Sinhalese</t>
        </is>
      </c>
      <c r="H5" t="inlineStr">
        <is>
          <t>Buddhist</t>
        </is>
      </c>
      <c r="J5" t="inlineStr">
        <is>
          <t>Self-employed</t>
        </is>
      </c>
      <c r="K5" t="inlineStr">
        <is>
          <t>&lt; 25,000</t>
        </is>
      </c>
      <c r="L5" t="inlineStr">
        <is>
          <t xml:space="preserve">Graduate </t>
        </is>
      </c>
      <c r="M5" t="inlineStr">
        <is>
          <t>Western</t>
        </is>
      </c>
      <c r="N5" t="inlineStr">
        <is>
          <t>Single</t>
        </is>
      </c>
      <c r="P5" t="inlineStr">
        <is>
          <t xml:space="preserve"> I don’t know</t>
        </is>
      </c>
      <c r="R5" s="1" t="n">
        <v>44862</v>
      </c>
      <c r="S5" t="inlineStr">
        <is>
          <t xml:space="preserve">During school/university  </t>
        </is>
      </c>
      <c r="U5" t="inlineStr">
        <is>
          <t>Yes</t>
        </is>
      </c>
      <c r="V5" t="inlineStr">
        <is>
          <t xml:space="preserve">Thalassemia major (severe form)   Thalassemia minor or trait (carrier form) Thalassemia intermedia (moderate form) </t>
        </is>
      </c>
      <c r="W5" t="n">
        <v>1</v>
      </c>
      <c r="X5" t="n">
        <v>1</v>
      </c>
      <c r="Y5" t="n">
        <v>1</v>
      </c>
      <c r="Z5" t="n">
        <v>0</v>
      </c>
      <c r="AA5" t="inlineStr">
        <is>
          <t xml:space="preserve">Thalassemia major (severe form)  </t>
        </is>
      </c>
      <c r="AB5" t="n">
        <v>1</v>
      </c>
      <c r="AC5" t="n">
        <v>0</v>
      </c>
      <c r="AD5" t="n">
        <v>0</v>
      </c>
      <c r="AE5" t="n">
        <v>0</v>
      </c>
      <c r="AF5" t="inlineStr">
        <is>
          <t>Thalassemia minor or trait (carrier form)</t>
        </is>
      </c>
      <c r="AG5" t="n">
        <v>0</v>
      </c>
      <c r="AH5" t="n">
        <v>1</v>
      </c>
      <c r="AI5" t="n">
        <v>0</v>
      </c>
      <c r="AJ5" t="n">
        <v>0</v>
      </c>
      <c r="AK5" t="inlineStr">
        <is>
          <t>Yes</t>
        </is>
      </c>
      <c r="AL5" t="inlineStr">
        <is>
          <t>Very difficult (e.g., bone marrow transplant)</t>
        </is>
      </c>
      <c r="AM5" t="inlineStr">
        <is>
          <t xml:space="preserve">Can be prevented </t>
        </is>
      </c>
      <c r="AN5" t="inlineStr">
        <is>
          <t xml:space="preserve">From generation to generation (hereditary)  </t>
        </is>
      </c>
      <c r="AO5" t="inlineStr">
        <is>
          <t>Healthy</t>
        </is>
      </c>
      <c r="AP5" t="inlineStr">
        <is>
          <t xml:space="preserve">Has a chance to be affected (e.g., 25%) </t>
        </is>
      </c>
      <c r="AQ5" t="inlineStr">
        <is>
          <t xml:space="preserve">Yes </t>
        </is>
      </c>
      <c r="AR5" t="inlineStr">
        <is>
          <t>Don’t know</t>
        </is>
      </c>
      <c r="AS5" t="inlineStr">
        <is>
          <t>Regular blood transfusions for life  Iron overload affecting heart and liver  Delayed growth and puberty Risk of diabetes, infertility, and hormonal issues  Risk of infections from transfusions Frequent nosebleeds Fatigue Bone deformities</t>
        </is>
      </c>
      <c r="AT5" t="n">
        <v>1</v>
      </c>
      <c r="AU5" t="n">
        <v>1</v>
      </c>
      <c r="AV5" t="n">
        <v>1</v>
      </c>
      <c r="AW5" t="n">
        <v>1</v>
      </c>
      <c r="AX5" t="n">
        <v>1</v>
      </c>
      <c r="AY5" t="n">
        <v>1</v>
      </c>
      <c r="AZ5" t="n">
        <v>1</v>
      </c>
      <c r="BA5" t="n">
        <v>1</v>
      </c>
      <c r="BB5" t="inlineStr">
        <is>
          <t xml:space="preserve"> Get the partner tested before marriage   Get family members tested </t>
        </is>
      </c>
      <c r="BC5" t="n">
        <v>1</v>
      </c>
      <c r="BD5" t="n">
        <v>1</v>
      </c>
      <c r="BE5" t="n">
        <v>0</v>
      </c>
      <c r="BF5" t="n">
        <v>0</v>
      </c>
      <c r="BG5" t="inlineStr">
        <is>
          <t xml:space="preserve">Healthcare staff (doctors and nurses) </t>
        </is>
      </c>
      <c r="BH5" t="inlineStr">
        <is>
          <t>Definitely not</t>
        </is>
      </c>
      <c r="BI5" t="inlineStr">
        <is>
          <t xml:space="preserve">No </t>
        </is>
      </c>
      <c r="BJ5" t="inlineStr">
        <is>
          <t xml:space="preserve">Very important </t>
        </is>
      </c>
      <c r="BK5" t="inlineStr">
        <is>
          <t>Did not disclose thalassemia carrier state to partner</t>
        </is>
      </c>
      <c r="BM5" t="inlineStr">
        <is>
          <t xml:space="preserve"> Fear of rejection</t>
        </is>
      </c>
      <c r="BP5" t="inlineStr">
        <is>
          <t xml:space="preserve">Agree </t>
        </is>
      </c>
      <c r="BQ5" t="inlineStr">
        <is>
          <t>No</t>
        </is>
      </c>
      <c r="BS5" t="inlineStr">
        <is>
          <t>Don't know</t>
        </is>
      </c>
      <c r="BT5" t="inlineStr">
        <is>
          <t>Don't know</t>
        </is>
      </c>
      <c r="BU5" t="inlineStr">
        <is>
          <t>Don't know</t>
        </is>
      </c>
      <c r="BV5" t="inlineStr">
        <is>
          <t>Concern about stigma or discrimination Fear of result</t>
        </is>
      </c>
      <c r="BW5" t="n">
        <v>0</v>
      </c>
      <c r="BX5" t="n">
        <v>1</v>
      </c>
      <c r="BY5" t="n">
        <v>1</v>
      </c>
      <c r="BZ5" t="n">
        <v>0</v>
      </c>
      <c r="CA5" t="n">
        <v>0</v>
      </c>
      <c r="CB5" t="n">
        <v>0</v>
      </c>
      <c r="CD5" t="inlineStr">
        <is>
          <t xml:space="preserve">Difficult </t>
        </is>
      </c>
      <c r="CE5" t="inlineStr">
        <is>
          <t xml:space="preserve"> Very important</t>
        </is>
      </c>
      <c r="CF5" t="n">
        <v>592699484</v>
      </c>
      <c r="CG5" t="inlineStr">
        <is>
          <t>4ac7b747-6445-4594-be42-8f590ceef264</t>
        </is>
      </c>
      <c r="CH5" s="1" t="n">
        <v>45958.53159722222</v>
      </c>
      <c r="CK5" t="inlineStr">
        <is>
          <t>submitted_via_web</t>
        </is>
      </c>
      <c r="CM5" t="inlineStr">
        <is>
          <t>vteYUDpqfKnk39PHFZkvPS</t>
        </is>
      </c>
      <c r="CO5" t="inlineStr">
        <is>
          <t>uuid:4ac7b747-6445-4594-be42-8f590ceef264</t>
        </is>
      </c>
      <c r="CP5" t="n">
        <v>4</v>
      </c>
      <c r="CQ5" t="n">
        <v>11</v>
      </c>
      <c r="CR5" t="n">
        <v>2.805981931389258</v>
      </c>
    </row>
    <row r="6">
      <c r="A6" s="1" t="n">
        <v>45958.73296002315</v>
      </c>
      <c r="B6" s="1" t="n">
        <v>45958.77380388889</v>
      </c>
      <c r="D6" t="inlineStr">
        <is>
          <t>28</t>
        </is>
      </c>
      <c r="E6" t="inlineStr">
        <is>
          <t xml:space="preserve">Male </t>
        </is>
      </c>
      <c r="F6" t="inlineStr">
        <is>
          <t>Sinhalese</t>
        </is>
      </c>
      <c r="H6" t="inlineStr">
        <is>
          <t>Buddhist</t>
        </is>
      </c>
      <c r="J6" t="inlineStr">
        <is>
          <t>Government sector</t>
        </is>
      </c>
      <c r="K6" t="inlineStr">
        <is>
          <t>51,000 – 100,000</t>
        </is>
      </c>
      <c r="L6" t="inlineStr">
        <is>
          <t xml:space="preserve">Graduate </t>
        </is>
      </c>
      <c r="M6" t="inlineStr">
        <is>
          <t xml:space="preserve">North Western </t>
        </is>
      </c>
      <c r="N6" t="inlineStr">
        <is>
          <t>Single</t>
        </is>
      </c>
      <c r="P6" t="inlineStr">
        <is>
          <t>No</t>
        </is>
      </c>
      <c r="S6" t="inlineStr">
        <is>
          <t>At workplace</t>
        </is>
      </c>
      <c r="U6" t="inlineStr">
        <is>
          <t>Yes</t>
        </is>
      </c>
      <c r="V6" t="inlineStr">
        <is>
          <t xml:space="preserve">Thalassemia major (severe form)   Thalassemia minor or trait (carrier form) Thalassemia intermedia (moderate form) </t>
        </is>
      </c>
      <c r="W6" t="n">
        <v>1</v>
      </c>
      <c r="X6" t="n">
        <v>1</v>
      </c>
      <c r="Y6" t="n">
        <v>1</v>
      </c>
      <c r="Z6" t="n">
        <v>0</v>
      </c>
      <c r="AA6" t="inlineStr">
        <is>
          <t xml:space="preserve">Thalassemia major (severe form)  </t>
        </is>
      </c>
      <c r="AB6" t="n">
        <v>1</v>
      </c>
      <c r="AC6" t="n">
        <v>0</v>
      </c>
      <c r="AD6" t="n">
        <v>0</v>
      </c>
      <c r="AE6" t="n">
        <v>0</v>
      </c>
      <c r="AF6" t="inlineStr">
        <is>
          <t>Thalassemia minor or trait (carrier form)</t>
        </is>
      </c>
      <c r="AG6" t="n">
        <v>0</v>
      </c>
      <c r="AH6" t="n">
        <v>1</v>
      </c>
      <c r="AI6" t="n">
        <v>0</v>
      </c>
      <c r="AJ6" t="n">
        <v>0</v>
      </c>
      <c r="AK6" t="inlineStr">
        <is>
          <t>No</t>
        </is>
      </c>
      <c r="AL6" t="inlineStr">
        <is>
          <t>Don’t know</t>
        </is>
      </c>
      <c r="AM6" t="inlineStr">
        <is>
          <t xml:space="preserve">Can be prevented </t>
        </is>
      </c>
      <c r="AN6" t="inlineStr">
        <is>
          <t xml:space="preserve">From generation to generation (hereditary)  </t>
        </is>
      </c>
      <c r="AO6" t="inlineStr">
        <is>
          <t>Healthy</t>
        </is>
      </c>
      <c r="AP6" t="inlineStr">
        <is>
          <t xml:space="preserve">Has a chance to be affected (e.g., 25%) </t>
        </is>
      </c>
      <c r="AQ6" t="inlineStr">
        <is>
          <t xml:space="preserve">Yes </t>
        </is>
      </c>
      <c r="AR6" t="inlineStr">
        <is>
          <t>Don’t know</t>
        </is>
      </c>
      <c r="AS6" t="inlineStr">
        <is>
          <t>Iron overload affecting heart and liver  Delayed growth and puberty Risk of infections from transfusions</t>
        </is>
      </c>
      <c r="AT6" t="n">
        <v>0</v>
      </c>
      <c r="AU6" t="n">
        <v>1</v>
      </c>
      <c r="AV6" t="n">
        <v>1</v>
      </c>
      <c r="AW6" t="n">
        <v>0</v>
      </c>
      <c r="AX6" t="n">
        <v>1</v>
      </c>
      <c r="AY6" t="n">
        <v>0</v>
      </c>
      <c r="AZ6" t="n">
        <v>0</v>
      </c>
      <c r="BA6" t="n">
        <v>0</v>
      </c>
      <c r="BB6" t="inlineStr">
        <is>
          <t xml:space="preserve"> Get the partner tested before marriage   Get family members tested </t>
        </is>
      </c>
      <c r="BC6" t="n">
        <v>1</v>
      </c>
      <c r="BD6" t="n">
        <v>1</v>
      </c>
      <c r="BE6" t="n">
        <v>0</v>
      </c>
      <c r="BF6" t="n">
        <v>0</v>
      </c>
      <c r="BG6" t="inlineStr">
        <is>
          <t xml:space="preserve">School  </t>
        </is>
      </c>
      <c r="BH6" t="inlineStr">
        <is>
          <t xml:space="preserve">Yes I am willing </t>
        </is>
      </c>
      <c r="BI6" t="inlineStr">
        <is>
          <t xml:space="preserve">No </t>
        </is>
      </c>
      <c r="BJ6" t="inlineStr">
        <is>
          <t xml:space="preserve">Very important </t>
        </is>
      </c>
      <c r="BK6" t="inlineStr">
        <is>
          <t>Partner was screened before marriage</t>
        </is>
      </c>
      <c r="BP6" t="inlineStr">
        <is>
          <t xml:space="preserve">Agree </t>
        </is>
      </c>
      <c r="BQ6" t="inlineStr">
        <is>
          <t>No</t>
        </is>
      </c>
      <c r="BS6" t="inlineStr">
        <is>
          <t>All</t>
        </is>
      </c>
      <c r="BT6" t="inlineStr">
        <is>
          <t>None</t>
        </is>
      </c>
      <c r="BU6" t="inlineStr">
        <is>
          <t>Don't know</t>
        </is>
      </c>
      <c r="BV6" t="inlineStr">
        <is>
          <t>Concern about stigma or discrimination Fear of result</t>
        </is>
      </c>
      <c r="BW6" t="n">
        <v>0</v>
      </c>
      <c r="BX6" t="n">
        <v>1</v>
      </c>
      <c r="BY6" t="n">
        <v>1</v>
      </c>
      <c r="BZ6" t="n">
        <v>0</v>
      </c>
      <c r="CA6" t="n">
        <v>0</v>
      </c>
      <c r="CB6" t="n">
        <v>0</v>
      </c>
      <c r="CD6" t="inlineStr">
        <is>
          <t xml:space="preserve">Somewhat easy </t>
        </is>
      </c>
      <c r="CE6" t="inlineStr">
        <is>
          <t xml:space="preserve"> Very important</t>
        </is>
      </c>
      <c r="CF6" t="n">
        <v>592715981</v>
      </c>
      <c r="CG6" t="inlineStr">
        <is>
          <t>64c21c7b-56a0-47ff-a415-95667520c326</t>
        </is>
      </c>
      <c r="CH6" s="1" t="n">
        <v>45958.54465277777</v>
      </c>
      <c r="CK6" t="inlineStr">
        <is>
          <t>submitted_via_web</t>
        </is>
      </c>
      <c r="CM6" t="inlineStr">
        <is>
          <t>vteYUDpqfKnk39PHFZkvPS</t>
        </is>
      </c>
      <c r="CO6" t="inlineStr">
        <is>
          <t>uuid:64c21c7b-56a0-47ff-a415-95667520c326</t>
        </is>
      </c>
      <c r="CP6" t="n">
        <v>5</v>
      </c>
      <c r="CQ6" t="n">
        <v>6</v>
      </c>
      <c r="CR6" t="n">
        <v>0.8544166434680093</v>
      </c>
    </row>
    <row r="7">
      <c r="A7" s="1" t="n">
        <v>45958.75186431713</v>
      </c>
      <c r="B7" s="1" t="n">
        <v>45958.77689282408</v>
      </c>
      <c r="D7" t="inlineStr">
        <is>
          <t>34</t>
        </is>
      </c>
      <c r="E7" t="inlineStr">
        <is>
          <t>Female</t>
        </is>
      </c>
      <c r="F7" t="inlineStr">
        <is>
          <t>Sinhalese</t>
        </is>
      </c>
      <c r="H7" t="inlineStr">
        <is>
          <t>Buddhist</t>
        </is>
      </c>
      <c r="J7" t="inlineStr">
        <is>
          <t>Private sector</t>
        </is>
      </c>
      <c r="K7" t="inlineStr">
        <is>
          <t>25,000 – 50,000</t>
        </is>
      </c>
      <c r="L7" t="inlineStr">
        <is>
          <t xml:space="preserve">Up to O/L </t>
        </is>
      </c>
      <c r="M7" t="inlineStr">
        <is>
          <t>Western</t>
        </is>
      </c>
      <c r="N7" t="inlineStr">
        <is>
          <t>Single</t>
        </is>
      </c>
      <c r="P7" t="inlineStr">
        <is>
          <t xml:space="preserve"> Yes </t>
        </is>
      </c>
      <c r="Q7" t="inlineStr">
        <is>
          <t>Thalassemia</t>
        </is>
      </c>
      <c r="R7" s="1" t="n">
        <v>44615</v>
      </c>
      <c r="S7" t="inlineStr">
        <is>
          <t>At workplace</t>
        </is>
      </c>
      <c r="U7" t="inlineStr">
        <is>
          <t>Yes</t>
        </is>
      </c>
      <c r="V7" t="inlineStr">
        <is>
          <t>Thalassemia major (severe form)   Thalassemia minor or trait (carrier form)</t>
        </is>
      </c>
      <c r="W7" t="n">
        <v>1</v>
      </c>
      <c r="X7" t="n">
        <v>1</v>
      </c>
      <c r="Y7" t="n">
        <v>0</v>
      </c>
      <c r="Z7" t="n">
        <v>0</v>
      </c>
      <c r="AA7" t="inlineStr">
        <is>
          <t>I don’t know</t>
        </is>
      </c>
      <c r="AB7" t="n">
        <v>0</v>
      </c>
      <c r="AC7" t="n">
        <v>0</v>
      </c>
      <c r="AD7" t="n">
        <v>0</v>
      </c>
      <c r="AE7" t="n">
        <v>1</v>
      </c>
      <c r="AF7" t="inlineStr">
        <is>
          <t>Thalassemia minor or trait (carrier form)</t>
        </is>
      </c>
      <c r="AG7" t="n">
        <v>0</v>
      </c>
      <c r="AH7" t="n">
        <v>1</v>
      </c>
      <c r="AI7" t="n">
        <v>0</v>
      </c>
      <c r="AJ7" t="n">
        <v>0</v>
      </c>
      <c r="AK7" t="inlineStr">
        <is>
          <t>Yes</t>
        </is>
      </c>
      <c r="AL7" t="inlineStr">
        <is>
          <t>Don’t know</t>
        </is>
      </c>
      <c r="AM7" t="inlineStr">
        <is>
          <t>Not sure</t>
        </is>
      </c>
      <c r="AN7" t="inlineStr">
        <is>
          <t>Don’t know</t>
        </is>
      </c>
      <c r="AO7" t="inlineStr">
        <is>
          <t>Don’t know</t>
        </is>
      </c>
      <c r="AP7" t="inlineStr">
        <is>
          <t>Always affected by thalassemia</t>
        </is>
      </c>
      <c r="AQ7" t="inlineStr">
        <is>
          <t>No</t>
        </is>
      </c>
      <c r="AR7" t="inlineStr">
        <is>
          <t>Don’t know</t>
        </is>
      </c>
      <c r="BB7" t="inlineStr">
        <is>
          <t xml:space="preserve">Get family members tested </t>
        </is>
      </c>
      <c r="BC7" t="n">
        <v>0</v>
      </c>
      <c r="BD7" t="n">
        <v>1</v>
      </c>
      <c r="BE7" t="n">
        <v>0</v>
      </c>
      <c r="BF7" t="n">
        <v>0</v>
      </c>
      <c r="BG7" t="inlineStr">
        <is>
          <t>Only found out after screening</t>
        </is>
      </c>
      <c r="BH7" t="inlineStr">
        <is>
          <t>Definitely not</t>
        </is>
      </c>
      <c r="BI7" t="inlineStr">
        <is>
          <t xml:space="preserve">No </t>
        </is>
      </c>
      <c r="BJ7" t="inlineStr">
        <is>
          <t xml:space="preserve">Very important </t>
        </is>
      </c>
      <c r="BP7" t="inlineStr">
        <is>
          <t xml:space="preserve">Agree </t>
        </is>
      </c>
      <c r="BQ7" t="inlineStr">
        <is>
          <t xml:space="preserve">Yes </t>
        </is>
      </c>
      <c r="BS7" t="inlineStr">
        <is>
          <t>All</t>
        </is>
      </c>
      <c r="BT7" t="inlineStr">
        <is>
          <t>None</t>
        </is>
      </c>
      <c r="BU7" t="inlineStr">
        <is>
          <t>Don't know</t>
        </is>
      </c>
      <c r="CD7" t="inlineStr">
        <is>
          <t xml:space="preserve">Very easy </t>
        </is>
      </c>
      <c r="CE7" t="inlineStr">
        <is>
          <t xml:space="preserve"> Very important</t>
        </is>
      </c>
      <c r="CF7" t="n">
        <v>592719796</v>
      </c>
      <c r="CG7" t="inlineStr">
        <is>
          <t>2695ba4b-9309-4911-a3fa-ee06df1ae978</t>
        </is>
      </c>
      <c r="CH7" s="1" t="n">
        <v>45958.54771990741</v>
      </c>
      <c r="CK7" t="inlineStr">
        <is>
          <t>submitted_via_web</t>
        </is>
      </c>
      <c r="CM7" t="inlineStr">
        <is>
          <t>vteYUDpqfKnk39PHFZkvPS</t>
        </is>
      </c>
      <c r="CO7" t="inlineStr">
        <is>
          <t>uuid:2695ba4b-9309-4911-a3fa-ee06df1ae978</t>
        </is>
      </c>
      <c r="CP7" t="n">
        <v>6</v>
      </c>
      <c r="CQ7" t="n">
        <v>2</v>
      </c>
      <c r="CR7" t="n">
        <v>-0.7068355868689896</v>
      </c>
    </row>
    <row r="8">
      <c r="A8" s="1" t="n">
        <v>45958.81325840278</v>
      </c>
      <c r="B8" s="1" t="n">
        <v>45958.81953447917</v>
      </c>
      <c r="D8" t="inlineStr">
        <is>
          <t>27</t>
        </is>
      </c>
      <c r="E8" t="inlineStr">
        <is>
          <t>Female</t>
        </is>
      </c>
      <c r="F8" t="inlineStr">
        <is>
          <t>Sinhalese</t>
        </is>
      </c>
      <c r="H8" t="inlineStr">
        <is>
          <t>Buddhist</t>
        </is>
      </c>
      <c r="J8" t="inlineStr">
        <is>
          <t>Private sector</t>
        </is>
      </c>
      <c r="K8" t="inlineStr">
        <is>
          <t>51,000 – 100,000</t>
        </is>
      </c>
      <c r="L8" t="inlineStr">
        <is>
          <t xml:space="preserve">Graduate </t>
        </is>
      </c>
      <c r="M8" t="inlineStr">
        <is>
          <t>Uva</t>
        </is>
      </c>
      <c r="N8" t="inlineStr">
        <is>
          <t>Single</t>
        </is>
      </c>
      <c r="P8" t="inlineStr">
        <is>
          <t>No</t>
        </is>
      </c>
      <c r="R8" s="1" t="n">
        <v>44700</v>
      </c>
      <c r="S8" t="inlineStr">
        <is>
          <t xml:space="preserve">During school/university  </t>
        </is>
      </c>
      <c r="U8" t="inlineStr">
        <is>
          <t>Yes</t>
        </is>
      </c>
      <c r="V8" t="inlineStr">
        <is>
          <t xml:space="preserve">Thalassemia major (severe form)  </t>
        </is>
      </c>
      <c r="W8" t="n">
        <v>1</v>
      </c>
      <c r="X8" t="n">
        <v>0</v>
      </c>
      <c r="Y8" t="n">
        <v>0</v>
      </c>
      <c r="Z8" t="n">
        <v>0</v>
      </c>
      <c r="AA8" t="inlineStr">
        <is>
          <t xml:space="preserve">Thalassemia major (severe form)  </t>
        </is>
      </c>
      <c r="AB8" t="n">
        <v>1</v>
      </c>
      <c r="AC8" t="n">
        <v>0</v>
      </c>
      <c r="AD8" t="n">
        <v>0</v>
      </c>
      <c r="AE8" t="n">
        <v>0</v>
      </c>
      <c r="AF8" t="inlineStr">
        <is>
          <t>Thalassemia minor or trait (carrier form)</t>
        </is>
      </c>
      <c r="AG8" t="n">
        <v>0</v>
      </c>
      <c r="AH8" t="n">
        <v>1</v>
      </c>
      <c r="AI8" t="n">
        <v>0</v>
      </c>
      <c r="AJ8" t="n">
        <v>0</v>
      </c>
      <c r="AK8" t="inlineStr">
        <is>
          <t>Yes</t>
        </is>
      </c>
      <c r="AL8" t="inlineStr">
        <is>
          <t>Very difficult (e.g., bone marrow transplant)</t>
        </is>
      </c>
      <c r="AM8" t="inlineStr">
        <is>
          <t xml:space="preserve">Can be prevented </t>
        </is>
      </c>
      <c r="AN8" t="inlineStr">
        <is>
          <t xml:space="preserve">From generation to generation (hereditary)  </t>
        </is>
      </c>
      <c r="AO8" t="inlineStr">
        <is>
          <t>Healthy</t>
        </is>
      </c>
      <c r="AP8" t="inlineStr">
        <is>
          <t xml:space="preserve">Has a chance to be affected (e.g., 25%) </t>
        </is>
      </c>
      <c r="AQ8" t="inlineStr">
        <is>
          <t>No</t>
        </is>
      </c>
      <c r="AR8" t="inlineStr">
        <is>
          <t>Don’t know</t>
        </is>
      </c>
      <c r="AS8" t="inlineStr">
        <is>
          <t>Regular blood transfusions for life  Iron overload affecting heart and liver  Delayed growth and puberty Risk of diabetes, infertility, and hormonal issues  Risk of infections from transfusions Bone deformities</t>
        </is>
      </c>
      <c r="AT8" t="n">
        <v>1</v>
      </c>
      <c r="AU8" t="n">
        <v>1</v>
      </c>
      <c r="AV8" t="n">
        <v>1</v>
      </c>
      <c r="AW8" t="n">
        <v>1</v>
      </c>
      <c r="AX8" t="n">
        <v>1</v>
      </c>
      <c r="AY8" t="n">
        <v>0</v>
      </c>
      <c r="AZ8" t="n">
        <v>0</v>
      </c>
      <c r="BA8" t="n">
        <v>1</v>
      </c>
      <c r="BB8" t="inlineStr">
        <is>
          <t xml:space="preserve"> Get the partner tested before marriage   Get family members tested </t>
        </is>
      </c>
      <c r="BC8" t="n">
        <v>1</v>
      </c>
      <c r="BD8" t="n">
        <v>1</v>
      </c>
      <c r="BE8" t="n">
        <v>0</v>
      </c>
      <c r="BF8" t="n">
        <v>0</v>
      </c>
      <c r="BG8" t="inlineStr">
        <is>
          <t>Only found out after screening</t>
        </is>
      </c>
      <c r="BH8" t="inlineStr">
        <is>
          <t>Definitely not</t>
        </is>
      </c>
      <c r="BI8" t="inlineStr">
        <is>
          <t xml:space="preserve">No </t>
        </is>
      </c>
      <c r="BJ8" t="inlineStr">
        <is>
          <t xml:space="preserve">Very important </t>
        </is>
      </c>
      <c r="BK8" t="inlineStr">
        <is>
          <t>Partner was screened before marriage</t>
        </is>
      </c>
      <c r="BM8" t="inlineStr">
        <is>
          <t xml:space="preserve"> Lack of understanding about its importance </t>
        </is>
      </c>
      <c r="BP8" t="inlineStr">
        <is>
          <t xml:space="preserve">Agree </t>
        </is>
      </c>
      <c r="BQ8" t="inlineStr">
        <is>
          <t xml:space="preserve">Yes </t>
        </is>
      </c>
      <c r="BS8" t="inlineStr">
        <is>
          <t>Some</t>
        </is>
      </c>
      <c r="BT8" t="inlineStr">
        <is>
          <t>None</t>
        </is>
      </c>
      <c r="BU8" t="inlineStr">
        <is>
          <t>None</t>
        </is>
      </c>
      <c r="BV8" t="inlineStr">
        <is>
          <t xml:space="preserve">Lack of knowledge </t>
        </is>
      </c>
      <c r="BW8" t="n">
        <v>1</v>
      </c>
      <c r="BX8" t="n">
        <v>0</v>
      </c>
      <c r="BY8" t="n">
        <v>0</v>
      </c>
      <c r="BZ8" t="n">
        <v>0</v>
      </c>
      <c r="CA8" t="n">
        <v>0</v>
      </c>
      <c r="CB8" t="n">
        <v>0</v>
      </c>
      <c r="CD8" t="inlineStr">
        <is>
          <t xml:space="preserve">Somewhat easy </t>
        </is>
      </c>
      <c r="CE8" t="inlineStr">
        <is>
          <t xml:space="preserve"> Very important</t>
        </is>
      </c>
      <c r="CF8" t="n">
        <v>592774447</v>
      </c>
      <c r="CG8" t="inlineStr">
        <is>
          <t>cbb7a829-fbd5-4ccf-a666-38bcbec7433d</t>
        </is>
      </c>
      <c r="CH8" s="1" t="n">
        <v>45958.59039351852</v>
      </c>
      <c r="CK8" t="inlineStr">
        <is>
          <t>submitted_via_web</t>
        </is>
      </c>
      <c r="CM8" t="inlineStr">
        <is>
          <t>vteYUDpqfKnk39PHFZkvPS</t>
        </is>
      </c>
      <c r="CO8" t="inlineStr">
        <is>
          <t>uuid:cbb7a829-fbd5-4ccf-a666-38bcbec7433d</t>
        </is>
      </c>
      <c r="CP8" t="n">
        <v>7</v>
      </c>
      <c r="CQ8" t="n">
        <v>7</v>
      </c>
      <c r="CR8" t="n">
        <v>1.244729701052259</v>
      </c>
    </row>
    <row r="9">
      <c r="A9" s="1" t="n">
        <v>45958.84563101852</v>
      </c>
      <c r="B9" s="1" t="n">
        <v>45958.84988283565</v>
      </c>
      <c r="D9" t="inlineStr">
        <is>
          <t>26</t>
        </is>
      </c>
      <c r="E9" t="inlineStr">
        <is>
          <t>Female</t>
        </is>
      </c>
      <c r="F9" t="inlineStr">
        <is>
          <t>Sinhalese</t>
        </is>
      </c>
      <c r="H9" t="inlineStr">
        <is>
          <t>Buddhist</t>
        </is>
      </c>
      <c r="J9" t="inlineStr">
        <is>
          <t>Private sector</t>
        </is>
      </c>
      <c r="K9" t="inlineStr">
        <is>
          <t>25,000 – 50,000</t>
        </is>
      </c>
      <c r="L9" t="inlineStr">
        <is>
          <t xml:space="preserve">Graduate </t>
        </is>
      </c>
      <c r="M9" t="inlineStr">
        <is>
          <t xml:space="preserve">Central </t>
        </is>
      </c>
      <c r="N9" t="inlineStr">
        <is>
          <t>Single</t>
        </is>
      </c>
      <c r="P9" t="inlineStr">
        <is>
          <t>No</t>
        </is>
      </c>
      <c r="U9" t="inlineStr">
        <is>
          <t>Yes</t>
        </is>
      </c>
      <c r="V9" t="inlineStr">
        <is>
          <t>Thalassemia major (severe form)   Thalassemia minor or trait (carrier form)</t>
        </is>
      </c>
      <c r="W9" t="n">
        <v>1</v>
      </c>
      <c r="X9" t="n">
        <v>1</v>
      </c>
      <c r="Y9" t="n">
        <v>0</v>
      </c>
      <c r="Z9" t="n">
        <v>0</v>
      </c>
      <c r="AA9" t="inlineStr">
        <is>
          <t xml:space="preserve">Thalassemia major (severe form)  </t>
        </is>
      </c>
      <c r="AB9" t="n">
        <v>1</v>
      </c>
      <c r="AC9" t="n">
        <v>0</v>
      </c>
      <c r="AD9" t="n">
        <v>0</v>
      </c>
      <c r="AE9" t="n">
        <v>0</v>
      </c>
      <c r="AF9" t="inlineStr">
        <is>
          <t>I don’t know</t>
        </is>
      </c>
      <c r="AG9" t="n">
        <v>0</v>
      </c>
      <c r="AH9" t="n">
        <v>0</v>
      </c>
      <c r="AI9" t="n">
        <v>0</v>
      </c>
      <c r="AJ9" t="n">
        <v>1</v>
      </c>
      <c r="AK9" t="inlineStr">
        <is>
          <t>Yes</t>
        </is>
      </c>
      <c r="AL9" t="inlineStr">
        <is>
          <t>Very difficult (e.g., bone marrow transplant)</t>
        </is>
      </c>
      <c r="AM9" t="inlineStr">
        <is>
          <t xml:space="preserve">Can be prevented </t>
        </is>
      </c>
      <c r="AN9" t="inlineStr">
        <is>
          <t xml:space="preserve">From generation to generation (hereditary)  </t>
        </is>
      </c>
      <c r="AO9" t="inlineStr">
        <is>
          <t>Healthy</t>
        </is>
      </c>
      <c r="AP9" t="inlineStr">
        <is>
          <t xml:space="preserve">Has a chance to be affected (e.g., 25%) </t>
        </is>
      </c>
      <c r="AQ9" t="inlineStr">
        <is>
          <t>No</t>
        </is>
      </c>
      <c r="AR9" t="inlineStr">
        <is>
          <t>Don’t know</t>
        </is>
      </c>
      <c r="AS9" t="inlineStr">
        <is>
          <t>Regular blood transfusions for life  Iron overload affecting heart and liver  Fatigue</t>
        </is>
      </c>
      <c r="AT9" t="n">
        <v>1</v>
      </c>
      <c r="AU9" t="n">
        <v>1</v>
      </c>
      <c r="AV9" t="n">
        <v>0</v>
      </c>
      <c r="AW9" t="n">
        <v>0</v>
      </c>
      <c r="AX9" t="n">
        <v>0</v>
      </c>
      <c r="AY9" t="n">
        <v>0</v>
      </c>
      <c r="AZ9" t="n">
        <v>1</v>
      </c>
      <c r="BA9" t="n">
        <v>0</v>
      </c>
      <c r="BB9" t="inlineStr">
        <is>
          <t xml:space="preserve"> Get the partner tested before marriage   Get family members tested </t>
        </is>
      </c>
      <c r="BC9" t="n">
        <v>1</v>
      </c>
      <c r="BD9" t="n">
        <v>1</v>
      </c>
      <c r="BE9" t="n">
        <v>0</v>
      </c>
      <c r="BF9" t="n">
        <v>0</v>
      </c>
      <c r="BG9" t="inlineStr">
        <is>
          <t xml:space="preserve">Healthcare staff (doctors and nurses) </t>
        </is>
      </c>
      <c r="BH9" t="inlineStr">
        <is>
          <t xml:space="preserve">Not sure </t>
        </is>
      </c>
      <c r="BI9" t="inlineStr">
        <is>
          <t xml:space="preserve">No </t>
        </is>
      </c>
      <c r="BJ9" t="inlineStr">
        <is>
          <t xml:space="preserve">Very important </t>
        </is>
      </c>
      <c r="BK9" t="inlineStr">
        <is>
          <t xml:space="preserve">Did not screen partner </t>
        </is>
      </c>
      <c r="BM9" t="inlineStr">
        <is>
          <t xml:space="preserve">Did not think it was necessary </t>
        </is>
      </c>
      <c r="BP9" t="inlineStr">
        <is>
          <t xml:space="preserve">Agree </t>
        </is>
      </c>
      <c r="BQ9" t="inlineStr">
        <is>
          <t>No</t>
        </is>
      </c>
      <c r="BS9" t="inlineStr">
        <is>
          <t>None</t>
        </is>
      </c>
      <c r="BT9" t="inlineStr">
        <is>
          <t>None</t>
        </is>
      </c>
      <c r="BU9" t="inlineStr">
        <is>
          <t>None</t>
        </is>
      </c>
      <c r="BV9" t="inlineStr">
        <is>
          <t xml:space="preserve">Lack of knowledge </t>
        </is>
      </c>
      <c r="BW9" t="n">
        <v>1</v>
      </c>
      <c r="BX9" t="n">
        <v>0</v>
      </c>
      <c r="BY9" t="n">
        <v>0</v>
      </c>
      <c r="BZ9" t="n">
        <v>0</v>
      </c>
      <c r="CA9" t="n">
        <v>0</v>
      </c>
      <c r="CB9" t="n">
        <v>0</v>
      </c>
      <c r="CD9" t="inlineStr">
        <is>
          <t xml:space="preserve">Somewhat easy </t>
        </is>
      </c>
      <c r="CE9" t="inlineStr">
        <is>
          <t xml:space="preserve"> Very important</t>
        </is>
      </c>
      <c r="CF9" t="n">
        <v>592819008</v>
      </c>
      <c r="CG9" t="inlineStr">
        <is>
          <t>4d32be03-7063-4b7d-9136-ae120efd2c4a</t>
        </is>
      </c>
      <c r="CH9" s="1" t="n">
        <v>45958.62072916667</v>
      </c>
      <c r="CK9" t="inlineStr">
        <is>
          <t>submitted_via_web</t>
        </is>
      </c>
      <c r="CM9" t="inlineStr">
        <is>
          <t>vteYUDpqfKnk39PHFZkvPS</t>
        </is>
      </c>
      <c r="CO9" t="inlineStr">
        <is>
          <t>uuid:4d32be03-7063-4b7d-9136-ae120efd2c4a</t>
        </is>
      </c>
      <c r="CP9" t="n">
        <v>8</v>
      </c>
      <c r="CQ9" t="n">
        <v>5</v>
      </c>
      <c r="CR9" t="n">
        <v>0.4641035858837596</v>
      </c>
    </row>
    <row r="10">
      <c r="A10" s="1" t="n">
        <v>45958.87983914352</v>
      </c>
      <c r="B10" s="1" t="n">
        <v>45958.88892390046</v>
      </c>
      <c r="D10" t="inlineStr">
        <is>
          <t>27</t>
        </is>
      </c>
      <c r="E10" t="inlineStr">
        <is>
          <t>Female</t>
        </is>
      </c>
      <c r="F10" t="inlineStr">
        <is>
          <t>Sinhalese</t>
        </is>
      </c>
      <c r="H10" t="inlineStr">
        <is>
          <t>Buddhist</t>
        </is>
      </c>
      <c r="J10" t="inlineStr">
        <is>
          <t>Private sector</t>
        </is>
      </c>
      <c r="K10" t="inlineStr">
        <is>
          <t>51,000 – 100,000</t>
        </is>
      </c>
      <c r="L10" t="inlineStr">
        <is>
          <t xml:space="preserve">Graduate </t>
        </is>
      </c>
      <c r="M10" t="inlineStr">
        <is>
          <t xml:space="preserve">Southern </t>
        </is>
      </c>
      <c r="N10" t="inlineStr">
        <is>
          <t>Single</t>
        </is>
      </c>
      <c r="P10" t="inlineStr">
        <is>
          <t xml:space="preserve"> Yes </t>
        </is>
      </c>
      <c r="Q10" t="inlineStr">
        <is>
          <t>Thalassemia carrier</t>
        </is>
      </c>
      <c r="R10" s="1" t="n">
        <v>44927</v>
      </c>
      <c r="S10" t="inlineStr">
        <is>
          <t xml:space="preserve">During school/university  </t>
        </is>
      </c>
      <c r="U10" t="inlineStr">
        <is>
          <t>Yes</t>
        </is>
      </c>
      <c r="V10" t="inlineStr">
        <is>
          <t>Thalassemia major (severe form)   Thalassemia minor or trait (carrier form)</t>
        </is>
      </c>
      <c r="W10" t="n">
        <v>1</v>
      </c>
      <c r="X10" t="n">
        <v>1</v>
      </c>
      <c r="Y10" t="n">
        <v>0</v>
      </c>
      <c r="Z10" t="n">
        <v>0</v>
      </c>
      <c r="AA10" t="inlineStr">
        <is>
          <t xml:space="preserve">Thalassemia major (severe form)  </t>
        </is>
      </c>
      <c r="AB10" t="n">
        <v>1</v>
      </c>
      <c r="AC10" t="n">
        <v>0</v>
      </c>
      <c r="AD10" t="n">
        <v>0</v>
      </c>
      <c r="AE10" t="n">
        <v>0</v>
      </c>
      <c r="AF10" t="inlineStr">
        <is>
          <t>Thalassemia minor or trait (carrier form)</t>
        </is>
      </c>
      <c r="AG10" t="n">
        <v>0</v>
      </c>
      <c r="AH10" t="n">
        <v>1</v>
      </c>
      <c r="AI10" t="n">
        <v>0</v>
      </c>
      <c r="AJ10" t="n">
        <v>0</v>
      </c>
      <c r="AK10" t="inlineStr">
        <is>
          <t>Yes</t>
        </is>
      </c>
      <c r="AL10" t="inlineStr">
        <is>
          <t>Very difficult (e.g., bone marrow transplant)</t>
        </is>
      </c>
      <c r="AM10" t="inlineStr">
        <is>
          <t xml:space="preserve">Can be prevented </t>
        </is>
      </c>
      <c r="AN10" t="inlineStr">
        <is>
          <t xml:space="preserve">From generation to generation (hereditary)  </t>
        </is>
      </c>
      <c r="AO10" t="inlineStr">
        <is>
          <t>Healthy</t>
        </is>
      </c>
      <c r="AP10" t="inlineStr">
        <is>
          <t xml:space="preserve">Has a chance to be affected (e.g., 25%) </t>
        </is>
      </c>
      <c r="AQ10" t="inlineStr">
        <is>
          <t xml:space="preserve">Yes </t>
        </is>
      </c>
      <c r="AR10" t="inlineStr">
        <is>
          <t>Much less than this (&lt;40)</t>
        </is>
      </c>
      <c r="AS10" t="inlineStr">
        <is>
          <t>Regular blood transfusions for life  Risk of infections from transfusions Fatigue</t>
        </is>
      </c>
      <c r="AT10" t="n">
        <v>1</v>
      </c>
      <c r="AU10" t="n">
        <v>0</v>
      </c>
      <c r="AV10" t="n">
        <v>0</v>
      </c>
      <c r="AW10" t="n">
        <v>0</v>
      </c>
      <c r="AX10" t="n">
        <v>1</v>
      </c>
      <c r="AY10" t="n">
        <v>0</v>
      </c>
      <c r="AZ10" t="n">
        <v>1</v>
      </c>
      <c r="BA10" t="n">
        <v>0</v>
      </c>
      <c r="BB10" t="inlineStr">
        <is>
          <t xml:space="preserve"> Get the partner tested before marriage   Get family members tested </t>
        </is>
      </c>
      <c r="BC10" t="n">
        <v>1</v>
      </c>
      <c r="BD10" t="n">
        <v>1</v>
      </c>
      <c r="BE10" t="n">
        <v>0</v>
      </c>
      <c r="BF10" t="n">
        <v>0</v>
      </c>
      <c r="BG10" t="inlineStr">
        <is>
          <t xml:space="preserve">School  </t>
        </is>
      </c>
      <c r="BH10" t="inlineStr">
        <is>
          <t>Definitely not</t>
        </is>
      </c>
      <c r="BI10" t="inlineStr">
        <is>
          <t xml:space="preserve">No </t>
        </is>
      </c>
      <c r="BJ10" t="inlineStr">
        <is>
          <t xml:space="preserve">Very important </t>
        </is>
      </c>
      <c r="BK10" t="inlineStr">
        <is>
          <t>Other</t>
        </is>
      </c>
      <c r="BL10" t="inlineStr">
        <is>
          <t>Still don't have a partner</t>
        </is>
      </c>
      <c r="BM10" t="inlineStr">
        <is>
          <t>Other</t>
        </is>
      </c>
      <c r="BN10" t="inlineStr">
        <is>
          <t>As above</t>
        </is>
      </c>
      <c r="BP10" t="inlineStr">
        <is>
          <t xml:space="preserve">Agree </t>
        </is>
      </c>
      <c r="BQ10" t="inlineStr">
        <is>
          <t xml:space="preserve">Yes </t>
        </is>
      </c>
      <c r="BS10" t="inlineStr">
        <is>
          <t>Some</t>
        </is>
      </c>
      <c r="BT10" t="inlineStr">
        <is>
          <t>Some</t>
        </is>
      </c>
      <c r="CD10" t="inlineStr">
        <is>
          <t>Not sure</t>
        </is>
      </c>
      <c r="CE10" t="inlineStr">
        <is>
          <t xml:space="preserve"> Very important</t>
        </is>
      </c>
      <c r="CF10" t="n">
        <v>592872035</v>
      </c>
      <c r="CG10" t="inlineStr">
        <is>
          <t>04b2f174-18c6-40c6-8d32-0c9210d46353</t>
        </is>
      </c>
      <c r="CH10" s="1" t="n">
        <v>45958.6597800926</v>
      </c>
      <c r="CK10" t="inlineStr">
        <is>
          <t>submitted_via_web</t>
        </is>
      </c>
      <c r="CM10" t="inlineStr">
        <is>
          <t>vteYUDpqfKnk39PHFZkvPS</t>
        </is>
      </c>
      <c r="CO10" t="inlineStr">
        <is>
          <t>uuid:04b2f174-18c6-40c6-8d32-0c9210d46353</t>
        </is>
      </c>
      <c r="CP10" t="n">
        <v>9</v>
      </c>
      <c r="CQ10" t="n">
        <v>5</v>
      </c>
      <c r="CR10" t="n">
        <v>0.4641035858837596</v>
      </c>
    </row>
    <row r="11">
      <c r="A11" s="1" t="n">
        <v>45959.34801914352</v>
      </c>
      <c r="B11" s="1" t="n">
        <v>45959.36118644676</v>
      </c>
      <c r="D11" t="inlineStr">
        <is>
          <t>49</t>
        </is>
      </c>
      <c r="E11" t="inlineStr">
        <is>
          <t xml:space="preserve">Male </t>
        </is>
      </c>
      <c r="F11" t="inlineStr">
        <is>
          <t>Sinhalese</t>
        </is>
      </c>
      <c r="H11" t="inlineStr">
        <is>
          <t>Buddhist</t>
        </is>
      </c>
      <c r="J11" t="inlineStr">
        <is>
          <t>Private sector</t>
        </is>
      </c>
      <c r="K11" t="inlineStr">
        <is>
          <t>&gt; 100,000</t>
        </is>
      </c>
      <c r="L11" t="inlineStr">
        <is>
          <t xml:space="preserve">Up to O/L </t>
        </is>
      </c>
      <c r="M11" t="inlineStr">
        <is>
          <t xml:space="preserve">Sabaragamuwa </t>
        </is>
      </c>
      <c r="N11" t="inlineStr">
        <is>
          <t xml:space="preserve">Married </t>
        </is>
      </c>
      <c r="O11" t="inlineStr">
        <is>
          <t xml:space="preserve">Yes, more than one child </t>
        </is>
      </c>
      <c r="P11" t="inlineStr">
        <is>
          <t>No</t>
        </is>
      </c>
      <c r="S11" t="inlineStr">
        <is>
          <t>At workplace</t>
        </is>
      </c>
      <c r="U11" t="inlineStr">
        <is>
          <t>Yes</t>
        </is>
      </c>
      <c r="V11" t="inlineStr">
        <is>
          <t>I don’t know</t>
        </is>
      </c>
      <c r="W11" t="n">
        <v>0</v>
      </c>
      <c r="X11" t="n">
        <v>0</v>
      </c>
      <c r="Y11" t="n">
        <v>0</v>
      </c>
      <c r="Z11" t="n">
        <v>1</v>
      </c>
      <c r="AA11" t="inlineStr">
        <is>
          <t>I don’t know</t>
        </is>
      </c>
      <c r="AB11" t="n">
        <v>0</v>
      </c>
      <c r="AC11" t="n">
        <v>0</v>
      </c>
      <c r="AD11" t="n">
        <v>0</v>
      </c>
      <c r="AE11" t="n">
        <v>1</v>
      </c>
      <c r="AF11" t="inlineStr">
        <is>
          <t>I don’t know</t>
        </is>
      </c>
      <c r="AG11" t="n">
        <v>0</v>
      </c>
      <c r="AH11" t="n">
        <v>0</v>
      </c>
      <c r="AI11" t="n">
        <v>0</v>
      </c>
      <c r="AJ11" t="n">
        <v>1</v>
      </c>
      <c r="AK11" t="inlineStr">
        <is>
          <t>Don’t know</t>
        </is>
      </c>
      <c r="AL11" t="inlineStr">
        <is>
          <t>Don’t know</t>
        </is>
      </c>
      <c r="AM11" t="inlineStr">
        <is>
          <t xml:space="preserve">Can be prevented </t>
        </is>
      </c>
      <c r="AN11" t="inlineStr">
        <is>
          <t xml:space="preserve">From generation to generation (hereditary)  </t>
        </is>
      </c>
      <c r="AO11" t="inlineStr">
        <is>
          <t>Healthy</t>
        </is>
      </c>
      <c r="AP11" t="inlineStr">
        <is>
          <t xml:space="preserve">Has a chance to be affected (e.g., 25%) </t>
        </is>
      </c>
      <c r="AQ11" t="inlineStr">
        <is>
          <t>No</t>
        </is>
      </c>
      <c r="AR11" t="inlineStr">
        <is>
          <t xml:space="preserve">More than this (&gt;100) </t>
        </is>
      </c>
      <c r="BB11" t="inlineStr">
        <is>
          <t xml:space="preserve"> Get the partner tested before marriage   Get family members tested </t>
        </is>
      </c>
      <c r="BC11" t="n">
        <v>1</v>
      </c>
      <c r="BD11" t="n">
        <v>1</v>
      </c>
      <c r="BE11" t="n">
        <v>0</v>
      </c>
      <c r="BF11" t="n">
        <v>0</v>
      </c>
      <c r="BG11" t="inlineStr">
        <is>
          <t xml:space="preserve">School  </t>
        </is>
      </c>
      <c r="BH11" t="inlineStr">
        <is>
          <t>Definitely not</t>
        </is>
      </c>
      <c r="BI11" t="inlineStr">
        <is>
          <t xml:space="preserve">No </t>
        </is>
      </c>
      <c r="BJ11" t="inlineStr">
        <is>
          <t xml:space="preserve">Very important </t>
        </is>
      </c>
      <c r="BK11" t="inlineStr">
        <is>
          <t xml:space="preserve"> Partner was screened after marriage </t>
        </is>
      </c>
      <c r="BM11" t="inlineStr">
        <is>
          <t>Other</t>
        </is>
      </c>
      <c r="BN11" t="inlineStr">
        <is>
          <t>Screened after marriage</t>
        </is>
      </c>
      <c r="BP11" t="inlineStr">
        <is>
          <t xml:space="preserve">Agree </t>
        </is>
      </c>
      <c r="BQ11" t="inlineStr">
        <is>
          <t>No</t>
        </is>
      </c>
      <c r="BS11" t="inlineStr">
        <is>
          <t>None</t>
        </is>
      </c>
      <c r="BT11" t="inlineStr">
        <is>
          <t>None</t>
        </is>
      </c>
      <c r="BU11" t="inlineStr">
        <is>
          <t>None</t>
        </is>
      </c>
      <c r="BV11" t="inlineStr">
        <is>
          <t>Other</t>
        </is>
      </c>
      <c r="BW11" t="n">
        <v>0</v>
      </c>
      <c r="BX11" t="n">
        <v>0</v>
      </c>
      <c r="BY11" t="n">
        <v>0</v>
      </c>
      <c r="BZ11" t="n">
        <v>0</v>
      </c>
      <c r="CA11" t="n">
        <v>0</v>
      </c>
      <c r="CB11" t="n">
        <v>1</v>
      </c>
      <c r="CC11" t="inlineStr">
        <is>
          <t>Willing to do before marriage of children</t>
        </is>
      </c>
      <c r="CD11" t="inlineStr">
        <is>
          <t xml:space="preserve">Very easy </t>
        </is>
      </c>
      <c r="CE11" t="inlineStr">
        <is>
          <t xml:space="preserve"> Very important</t>
        </is>
      </c>
      <c r="CF11" t="n">
        <v>593164342</v>
      </c>
      <c r="CG11" t="inlineStr">
        <is>
          <t>e8d8ea0a-0103-456d-b964-e91e3f486186</t>
        </is>
      </c>
      <c r="CH11" s="1" t="n">
        <v>45959.13203703704</v>
      </c>
      <c r="CK11" t="inlineStr">
        <is>
          <t>submitted_via_web</t>
        </is>
      </c>
      <c r="CM11" t="inlineStr">
        <is>
          <t>vteYUDpqfKnk39PHFZkvPS</t>
        </is>
      </c>
      <c r="CO11" t="inlineStr">
        <is>
          <t>uuid:e8d8ea0a-0103-456d-b964-e91e3f486186</t>
        </is>
      </c>
      <c r="CP11" t="n">
        <v>10</v>
      </c>
      <c r="CQ11" t="n">
        <v>0</v>
      </c>
      <c r="CR11" t="n">
        <v>-1.487461702037489</v>
      </c>
    </row>
    <row r="12">
      <c r="A12" s="1" t="n">
        <v>45959.38766157407</v>
      </c>
      <c r="B12" s="1" t="n">
        <v>45959.41315684028</v>
      </c>
      <c r="D12" t="inlineStr">
        <is>
          <t>21</t>
        </is>
      </c>
      <c r="E12" t="inlineStr">
        <is>
          <t>Female</t>
        </is>
      </c>
      <c r="F12" t="inlineStr">
        <is>
          <t>Sinhalese</t>
        </is>
      </c>
      <c r="H12" t="inlineStr">
        <is>
          <t>Roman Catholic</t>
        </is>
      </c>
      <c r="J12" t="inlineStr">
        <is>
          <t>Not employed</t>
        </is>
      </c>
      <c r="L12" t="inlineStr">
        <is>
          <t xml:space="preserve">Undergraduate </t>
        </is>
      </c>
      <c r="M12" t="inlineStr">
        <is>
          <t>Western</t>
        </is>
      </c>
      <c r="N12" t="inlineStr">
        <is>
          <t>Single</t>
        </is>
      </c>
      <c r="P12" t="inlineStr">
        <is>
          <t>No</t>
        </is>
      </c>
      <c r="S12" t="inlineStr">
        <is>
          <t xml:space="preserve">During school/university  </t>
        </is>
      </c>
      <c r="U12" t="inlineStr">
        <is>
          <t>Yes</t>
        </is>
      </c>
      <c r="V12" t="inlineStr">
        <is>
          <t xml:space="preserve">Thalassemia major (severe form)   Thalassemia minor or trait (carrier form) Thalassemia intermedia (moderate form) </t>
        </is>
      </c>
      <c r="W12" t="n">
        <v>1</v>
      </c>
      <c r="X12" t="n">
        <v>1</v>
      </c>
      <c r="Y12" t="n">
        <v>1</v>
      </c>
      <c r="Z12" t="n">
        <v>0</v>
      </c>
      <c r="AA12" t="inlineStr">
        <is>
          <t xml:space="preserve">Thalassemia major (severe form)  </t>
        </is>
      </c>
      <c r="AB12" t="n">
        <v>1</v>
      </c>
      <c r="AC12" t="n">
        <v>0</v>
      </c>
      <c r="AD12" t="n">
        <v>0</v>
      </c>
      <c r="AE12" t="n">
        <v>0</v>
      </c>
      <c r="AF12" t="inlineStr">
        <is>
          <t>Thalassemia minor or trait (carrier form)</t>
        </is>
      </c>
      <c r="AG12" t="n">
        <v>0</v>
      </c>
      <c r="AH12" t="n">
        <v>1</v>
      </c>
      <c r="AI12" t="n">
        <v>0</v>
      </c>
      <c r="AJ12" t="n">
        <v>0</v>
      </c>
      <c r="AK12" t="inlineStr">
        <is>
          <t>Yes</t>
        </is>
      </c>
      <c r="AL12" t="inlineStr">
        <is>
          <t>Don’t know</t>
        </is>
      </c>
      <c r="AM12" t="inlineStr">
        <is>
          <t xml:space="preserve">Can be prevented </t>
        </is>
      </c>
      <c r="AN12" t="inlineStr">
        <is>
          <t xml:space="preserve">From generation to generation (hereditary)  </t>
        </is>
      </c>
      <c r="AO12" t="inlineStr">
        <is>
          <t>Healthy</t>
        </is>
      </c>
      <c r="AP12" t="inlineStr">
        <is>
          <t xml:space="preserve">Has a chance to be affected (e.g., 25%) </t>
        </is>
      </c>
      <c r="AQ12" t="inlineStr">
        <is>
          <t xml:space="preserve">Yes </t>
        </is>
      </c>
      <c r="AR12" t="inlineStr">
        <is>
          <t>Don’t know</t>
        </is>
      </c>
      <c r="AS12" t="inlineStr">
        <is>
          <t xml:space="preserve">Regular blood transfusions for life </t>
        </is>
      </c>
      <c r="AT12" t="n">
        <v>1</v>
      </c>
      <c r="AU12" t="n">
        <v>0</v>
      </c>
      <c r="AV12" t="n">
        <v>0</v>
      </c>
      <c r="AW12" t="n">
        <v>0</v>
      </c>
      <c r="AX12" t="n">
        <v>0</v>
      </c>
      <c r="AY12" t="n">
        <v>0</v>
      </c>
      <c r="AZ12" t="n">
        <v>0</v>
      </c>
      <c r="BA12" t="n">
        <v>0</v>
      </c>
      <c r="BB12" t="inlineStr">
        <is>
          <t xml:space="preserve"> Get the partner tested before marriage   Get family members tested </t>
        </is>
      </c>
      <c r="BC12" t="n">
        <v>1</v>
      </c>
      <c r="BD12" t="n">
        <v>1</v>
      </c>
      <c r="BE12" t="n">
        <v>0</v>
      </c>
      <c r="BF12" t="n">
        <v>0</v>
      </c>
      <c r="BG12" t="inlineStr">
        <is>
          <t xml:space="preserve">School  </t>
        </is>
      </c>
      <c r="BH12" t="inlineStr">
        <is>
          <t>Definitely not</t>
        </is>
      </c>
      <c r="BI12" t="inlineStr">
        <is>
          <t xml:space="preserve">No </t>
        </is>
      </c>
      <c r="BJ12" t="inlineStr">
        <is>
          <t xml:space="preserve">Very important </t>
        </is>
      </c>
      <c r="BK12" t="inlineStr">
        <is>
          <t>Other</t>
        </is>
      </c>
      <c r="BL12" t="inlineStr">
        <is>
          <t>Still not married will check</t>
        </is>
      </c>
      <c r="BM12" t="inlineStr">
        <is>
          <t>Other</t>
        </is>
      </c>
      <c r="BN12" t="inlineStr">
        <is>
          <t>As above</t>
        </is>
      </c>
      <c r="BP12" t="inlineStr">
        <is>
          <t xml:space="preserve">Agree </t>
        </is>
      </c>
      <c r="BS12" t="inlineStr">
        <is>
          <t>All</t>
        </is>
      </c>
      <c r="BT12" t="inlineStr">
        <is>
          <t>None</t>
        </is>
      </c>
      <c r="BU12" t="inlineStr">
        <is>
          <t>None</t>
        </is>
      </c>
      <c r="BV12" t="inlineStr">
        <is>
          <t>Lack of knowledge  Fear of result</t>
        </is>
      </c>
      <c r="BW12" t="n">
        <v>1</v>
      </c>
      <c r="BX12" t="n">
        <v>0</v>
      </c>
      <c r="BY12" t="n">
        <v>1</v>
      </c>
      <c r="BZ12" t="n">
        <v>0</v>
      </c>
      <c r="CA12" t="n">
        <v>0</v>
      </c>
      <c r="CB12" t="n">
        <v>0</v>
      </c>
      <c r="CD12" t="inlineStr">
        <is>
          <t xml:space="preserve">Somewhat easy </t>
        </is>
      </c>
      <c r="CE12" t="inlineStr">
        <is>
          <t xml:space="preserve"> Very important</t>
        </is>
      </c>
      <c r="CF12" t="n">
        <v>593188387</v>
      </c>
      <c r="CG12" t="inlineStr">
        <is>
          <t>ffffc64a-bed7-4a89-a7bc-449a44df87e6</t>
        </is>
      </c>
      <c r="CH12" s="1" t="n">
        <v>45959.18196759259</v>
      </c>
      <c r="CK12" t="inlineStr">
        <is>
          <t>submitted_via_web</t>
        </is>
      </c>
      <c r="CM12" t="inlineStr">
        <is>
          <t>vteYUDpqfKnk39PHFZkvPS</t>
        </is>
      </c>
      <c r="CO12" t="inlineStr">
        <is>
          <t>uuid:b8b8ff52-0284-4b95-a7a8-282a656f7d4e</t>
        </is>
      </c>
      <c r="CP12" t="n">
        <v>11</v>
      </c>
      <c r="CQ12" t="n">
        <v>4</v>
      </c>
      <c r="CR12" t="n">
        <v>0.07379052829950983</v>
      </c>
    </row>
    <row r="13">
      <c r="A13" s="1" t="n">
        <v>45959.53010708333</v>
      </c>
      <c r="B13" s="1" t="n">
        <v>45959.54116001158</v>
      </c>
      <c r="D13" t="inlineStr">
        <is>
          <t>22</t>
        </is>
      </c>
      <c r="E13" t="inlineStr">
        <is>
          <t>Female</t>
        </is>
      </c>
      <c r="F13" t="inlineStr">
        <is>
          <t>Sinhalese</t>
        </is>
      </c>
      <c r="H13" t="inlineStr">
        <is>
          <t>Roman Catholic</t>
        </is>
      </c>
      <c r="J13" t="inlineStr">
        <is>
          <t>Private sector</t>
        </is>
      </c>
      <c r="K13" t="inlineStr">
        <is>
          <t>51,000 – 100,000</t>
        </is>
      </c>
      <c r="L13" t="inlineStr">
        <is>
          <t xml:space="preserve">Up to A/L </t>
        </is>
      </c>
      <c r="M13" t="inlineStr">
        <is>
          <t>Western</t>
        </is>
      </c>
      <c r="N13" t="inlineStr">
        <is>
          <t>Single</t>
        </is>
      </c>
      <c r="P13" t="inlineStr">
        <is>
          <t>No</t>
        </is>
      </c>
      <c r="S13" t="inlineStr">
        <is>
          <t xml:space="preserve">During school/university  </t>
        </is>
      </c>
      <c r="U13" t="inlineStr">
        <is>
          <t>Yes</t>
        </is>
      </c>
      <c r="V13" t="inlineStr">
        <is>
          <t>I don’t know</t>
        </is>
      </c>
      <c r="W13" t="n">
        <v>0</v>
      </c>
      <c r="X13" t="n">
        <v>0</v>
      </c>
      <c r="Y13" t="n">
        <v>0</v>
      </c>
      <c r="Z13" t="n">
        <v>1</v>
      </c>
      <c r="AA13" t="inlineStr">
        <is>
          <t>I don’t know</t>
        </is>
      </c>
      <c r="AB13" t="n">
        <v>0</v>
      </c>
      <c r="AC13" t="n">
        <v>0</v>
      </c>
      <c r="AD13" t="n">
        <v>0</v>
      </c>
      <c r="AE13" t="n">
        <v>1</v>
      </c>
      <c r="AF13" t="inlineStr">
        <is>
          <t>I don’t know</t>
        </is>
      </c>
      <c r="AG13" t="n">
        <v>0</v>
      </c>
      <c r="AH13" t="n">
        <v>0</v>
      </c>
      <c r="AI13" t="n">
        <v>0</v>
      </c>
      <c r="AJ13" t="n">
        <v>1</v>
      </c>
      <c r="AK13" t="inlineStr">
        <is>
          <t>Don’t know</t>
        </is>
      </c>
      <c r="AL13" t="inlineStr">
        <is>
          <t>Don’t know</t>
        </is>
      </c>
      <c r="AM13" t="inlineStr">
        <is>
          <t>Not sure</t>
        </is>
      </c>
      <c r="AN13" t="inlineStr">
        <is>
          <t xml:space="preserve">From generation to generation (hereditary)  </t>
        </is>
      </c>
      <c r="AO13" t="inlineStr">
        <is>
          <t>Healthy</t>
        </is>
      </c>
      <c r="AP13" t="inlineStr">
        <is>
          <t xml:space="preserve">Has a chance to be affected (e.g., 25%) </t>
        </is>
      </c>
      <c r="AQ13" t="inlineStr">
        <is>
          <t>No</t>
        </is>
      </c>
      <c r="AR13" t="inlineStr">
        <is>
          <t>Don’t know</t>
        </is>
      </c>
      <c r="BB13" t="inlineStr">
        <is>
          <t xml:space="preserve"> Get the partner tested before marriage   Get family members tested </t>
        </is>
      </c>
      <c r="BC13" t="n">
        <v>1</v>
      </c>
      <c r="BD13" t="n">
        <v>1</v>
      </c>
      <c r="BE13" t="n">
        <v>0</v>
      </c>
      <c r="BF13" t="n">
        <v>0</v>
      </c>
      <c r="BG13" t="inlineStr">
        <is>
          <t>Mass media (TV, newspapers, social media)</t>
        </is>
      </c>
      <c r="BH13" t="inlineStr">
        <is>
          <t xml:space="preserve">Not sure </t>
        </is>
      </c>
      <c r="BI13" t="inlineStr">
        <is>
          <t xml:space="preserve">No </t>
        </is>
      </c>
      <c r="BJ13" t="inlineStr">
        <is>
          <t xml:space="preserve">Very important </t>
        </is>
      </c>
      <c r="BK13" t="inlineStr">
        <is>
          <t>Other</t>
        </is>
      </c>
      <c r="BL13" t="inlineStr">
        <is>
          <t>Still not married. Will be screen before marriage</t>
        </is>
      </c>
      <c r="BM13" t="inlineStr">
        <is>
          <t>Other</t>
        </is>
      </c>
      <c r="BN13" t="inlineStr">
        <is>
          <t>Still not married. Will be screen before marriage</t>
        </is>
      </c>
      <c r="BP13" t="inlineStr">
        <is>
          <t xml:space="preserve">Agree </t>
        </is>
      </c>
      <c r="BS13" t="inlineStr">
        <is>
          <t>All</t>
        </is>
      </c>
      <c r="BT13" t="inlineStr">
        <is>
          <t>None</t>
        </is>
      </c>
      <c r="BU13" t="inlineStr">
        <is>
          <t>None</t>
        </is>
      </c>
      <c r="BV13" t="inlineStr">
        <is>
          <t xml:space="preserve">Lack of knowledge </t>
        </is>
      </c>
      <c r="BW13" t="n">
        <v>1</v>
      </c>
      <c r="BX13" t="n">
        <v>0</v>
      </c>
      <c r="BY13" t="n">
        <v>0</v>
      </c>
      <c r="BZ13" t="n">
        <v>0</v>
      </c>
      <c r="CA13" t="n">
        <v>0</v>
      </c>
      <c r="CB13" t="n">
        <v>0</v>
      </c>
      <c r="CD13" t="inlineStr">
        <is>
          <t xml:space="preserve">Somewhat easy </t>
        </is>
      </c>
      <c r="CE13" t="inlineStr">
        <is>
          <t xml:space="preserve">Important </t>
        </is>
      </c>
      <c r="CF13" t="n">
        <v>593293747</v>
      </c>
      <c r="CG13" t="inlineStr">
        <is>
          <t>81b1d671-7b0e-43b1-9c1b-9fe751c59622</t>
        </is>
      </c>
      <c r="CH13" s="1" t="n">
        <v>45959.31201388889</v>
      </c>
      <c r="CK13" t="inlineStr">
        <is>
          <t>submitted_via_web</t>
        </is>
      </c>
      <c r="CM13" t="inlineStr">
        <is>
          <t>vteYUDpqfKnk39PHFZkvPS</t>
        </is>
      </c>
      <c r="CO13" t="inlineStr">
        <is>
          <t>uuid:81b1d671-7b0e-43b1-9c1b-9fe751c59622</t>
        </is>
      </c>
      <c r="CP13" t="n">
        <v>12</v>
      </c>
      <c r="CQ13" t="n">
        <v>0</v>
      </c>
      <c r="CR13" t="n">
        <v>-1.487461702037489</v>
      </c>
    </row>
    <row r="14">
      <c r="A14" s="1" t="n">
        <v>45959.54116167824</v>
      </c>
      <c r="B14" s="1" t="n">
        <v>45959.55607524305</v>
      </c>
      <c r="D14" t="inlineStr">
        <is>
          <t>24</t>
        </is>
      </c>
      <c r="E14" t="inlineStr">
        <is>
          <t>Female</t>
        </is>
      </c>
      <c r="F14" t="inlineStr">
        <is>
          <t>Sinhalese</t>
        </is>
      </c>
      <c r="H14" t="inlineStr">
        <is>
          <t>Roman Catholic</t>
        </is>
      </c>
      <c r="J14" t="inlineStr">
        <is>
          <t>Not employed</t>
        </is>
      </c>
      <c r="L14" t="inlineStr">
        <is>
          <t xml:space="preserve">Graduate </t>
        </is>
      </c>
      <c r="M14" t="inlineStr">
        <is>
          <t>Western</t>
        </is>
      </c>
      <c r="N14" t="inlineStr">
        <is>
          <t>Single</t>
        </is>
      </c>
      <c r="P14" t="inlineStr">
        <is>
          <t xml:space="preserve"> Yes </t>
        </is>
      </c>
      <c r="S14" t="inlineStr">
        <is>
          <t xml:space="preserve">During school/university  </t>
        </is>
      </c>
      <c r="U14" t="inlineStr">
        <is>
          <t>Yes</t>
        </is>
      </c>
      <c r="V14" t="inlineStr">
        <is>
          <t xml:space="preserve">Thalassemia major (severe form)   Thalassemia minor or trait (carrier form) Thalassemia intermedia (moderate form) </t>
        </is>
      </c>
      <c r="W14" t="n">
        <v>1</v>
      </c>
      <c r="X14" t="n">
        <v>1</v>
      </c>
      <c r="Y14" t="n">
        <v>1</v>
      </c>
      <c r="Z14" t="n">
        <v>0</v>
      </c>
      <c r="AA14" t="inlineStr">
        <is>
          <t>I don’t know</t>
        </is>
      </c>
      <c r="AB14" t="n">
        <v>0</v>
      </c>
      <c r="AC14" t="n">
        <v>0</v>
      </c>
      <c r="AD14" t="n">
        <v>0</v>
      </c>
      <c r="AE14" t="n">
        <v>1</v>
      </c>
      <c r="AF14" t="inlineStr">
        <is>
          <t>Thalassemia minor or trait (carrier form)</t>
        </is>
      </c>
      <c r="AG14" t="n">
        <v>0</v>
      </c>
      <c r="AH14" t="n">
        <v>1</v>
      </c>
      <c r="AI14" t="n">
        <v>0</v>
      </c>
      <c r="AJ14" t="n">
        <v>0</v>
      </c>
      <c r="AK14" t="inlineStr">
        <is>
          <t>Don’t know</t>
        </is>
      </c>
      <c r="AL14" t="inlineStr">
        <is>
          <t>Don’t know</t>
        </is>
      </c>
      <c r="AM14" t="inlineStr">
        <is>
          <t xml:space="preserve">Can be prevented </t>
        </is>
      </c>
      <c r="AN14" t="inlineStr">
        <is>
          <t xml:space="preserve">From generation to generation (hereditary)  </t>
        </is>
      </c>
      <c r="AO14" t="inlineStr">
        <is>
          <t>Healthy</t>
        </is>
      </c>
      <c r="AP14" t="inlineStr">
        <is>
          <t xml:space="preserve">Has a chance to be affected (e.g., 25%) </t>
        </is>
      </c>
      <c r="AQ14" t="inlineStr">
        <is>
          <t>No</t>
        </is>
      </c>
      <c r="AR14" t="inlineStr">
        <is>
          <t>Don’t know</t>
        </is>
      </c>
      <c r="BB14" t="inlineStr">
        <is>
          <t xml:space="preserve"> Get the partner tested before marriage   Get family members tested </t>
        </is>
      </c>
      <c r="BC14" t="n">
        <v>1</v>
      </c>
      <c r="BD14" t="n">
        <v>1</v>
      </c>
      <c r="BE14" t="n">
        <v>0</v>
      </c>
      <c r="BF14" t="n">
        <v>0</v>
      </c>
      <c r="BG14" t="inlineStr">
        <is>
          <t xml:space="preserve">Family </t>
        </is>
      </c>
      <c r="BH14" t="inlineStr">
        <is>
          <t>Definitely not</t>
        </is>
      </c>
      <c r="BI14" t="inlineStr">
        <is>
          <t xml:space="preserve">No </t>
        </is>
      </c>
      <c r="BJ14" t="inlineStr">
        <is>
          <t xml:space="preserve">Very important </t>
        </is>
      </c>
      <c r="BK14" t="inlineStr">
        <is>
          <t>Other</t>
        </is>
      </c>
      <c r="BL14" t="inlineStr">
        <is>
          <t>Still not married. Will be screen before marriage</t>
        </is>
      </c>
      <c r="BM14" t="inlineStr">
        <is>
          <t>Other</t>
        </is>
      </c>
      <c r="BN14" t="inlineStr">
        <is>
          <t>Still not married. Will be screen before marriage</t>
        </is>
      </c>
      <c r="BP14" t="inlineStr">
        <is>
          <t xml:space="preserve">Agree </t>
        </is>
      </c>
      <c r="BQ14" t="inlineStr">
        <is>
          <t xml:space="preserve">Yes </t>
        </is>
      </c>
      <c r="BS14" t="inlineStr">
        <is>
          <t>All</t>
        </is>
      </c>
      <c r="BT14" t="inlineStr">
        <is>
          <t>All</t>
        </is>
      </c>
      <c r="BU14" t="inlineStr">
        <is>
          <t>All</t>
        </is>
      </c>
      <c r="BV14" t="inlineStr">
        <is>
          <t>Other</t>
        </is>
      </c>
      <c r="BW14" t="n">
        <v>0</v>
      </c>
      <c r="BX14" t="n">
        <v>0</v>
      </c>
      <c r="BY14" t="n">
        <v>0</v>
      </c>
      <c r="BZ14" t="n">
        <v>0</v>
      </c>
      <c r="CA14" t="n">
        <v>0</v>
      </c>
      <c r="CB14" t="n">
        <v>1</v>
      </c>
      <c r="CC14" t="inlineStr">
        <is>
          <t>All are screened</t>
        </is>
      </c>
      <c r="CD14" t="inlineStr">
        <is>
          <t xml:space="preserve">Somewhat easy </t>
        </is>
      </c>
      <c r="CE14" t="inlineStr">
        <is>
          <t xml:space="preserve">Important </t>
        </is>
      </c>
      <c r="CF14" t="n">
        <v>593312026</v>
      </c>
      <c r="CG14" t="inlineStr">
        <is>
          <t>e04f1977-a157-4499-84c0-e01cb975ac41</t>
        </is>
      </c>
      <c r="CH14" s="1" t="n">
        <v>45959.3269212963</v>
      </c>
      <c r="CK14" t="inlineStr">
        <is>
          <t>submitted_via_web</t>
        </is>
      </c>
      <c r="CM14" t="inlineStr">
        <is>
          <t>vteYUDpqfKnk39PHFZkvPS</t>
        </is>
      </c>
      <c r="CO14" t="inlineStr">
        <is>
          <t>uuid:e04f1977-a157-4499-84c0-e01cb975ac41</t>
        </is>
      </c>
      <c r="CP14" t="n">
        <v>13</v>
      </c>
      <c r="CQ14" t="n">
        <v>3</v>
      </c>
      <c r="CR14" t="n">
        <v>-0.3165225292847399</v>
      </c>
    </row>
    <row r="15">
      <c r="A15" s="1" t="n">
        <v>45959.64219016203</v>
      </c>
      <c r="B15" s="1" t="n">
        <v>45959.6464144213</v>
      </c>
      <c r="D15" t="inlineStr">
        <is>
          <t>24</t>
        </is>
      </c>
      <c r="E15" t="inlineStr">
        <is>
          <t xml:space="preserve">Male </t>
        </is>
      </c>
      <c r="F15" t="inlineStr">
        <is>
          <t>Sinhalese</t>
        </is>
      </c>
      <c r="H15" t="inlineStr">
        <is>
          <t>Christian</t>
        </is>
      </c>
      <c r="J15" t="inlineStr">
        <is>
          <t>Not employed</t>
        </is>
      </c>
      <c r="L15" t="inlineStr">
        <is>
          <t xml:space="preserve">Up to A/L </t>
        </is>
      </c>
      <c r="M15" t="inlineStr">
        <is>
          <t xml:space="preserve">North Western </t>
        </is>
      </c>
      <c r="N15" t="inlineStr">
        <is>
          <t>Single</t>
        </is>
      </c>
      <c r="P15" t="inlineStr">
        <is>
          <t xml:space="preserve"> I don’t know</t>
        </is>
      </c>
      <c r="S15" t="inlineStr">
        <is>
          <t xml:space="preserve">During school/university  </t>
        </is>
      </c>
      <c r="U15" t="inlineStr">
        <is>
          <t>Don’t know</t>
        </is>
      </c>
      <c r="V15" t="inlineStr">
        <is>
          <t>I don’t know</t>
        </is>
      </c>
      <c r="W15" t="n">
        <v>0</v>
      </c>
      <c r="X15" t="n">
        <v>0</v>
      </c>
      <c r="Y15" t="n">
        <v>0</v>
      </c>
      <c r="Z15" t="n">
        <v>1</v>
      </c>
      <c r="AA15" t="inlineStr">
        <is>
          <t>I don’t know</t>
        </is>
      </c>
      <c r="AB15" t="n">
        <v>0</v>
      </c>
      <c r="AC15" t="n">
        <v>0</v>
      </c>
      <c r="AD15" t="n">
        <v>0</v>
      </c>
      <c r="AE15" t="n">
        <v>1</v>
      </c>
      <c r="AF15" t="inlineStr">
        <is>
          <t>I don’t know</t>
        </is>
      </c>
      <c r="AG15" t="n">
        <v>0</v>
      </c>
      <c r="AH15" t="n">
        <v>0</v>
      </c>
      <c r="AI15" t="n">
        <v>0</v>
      </c>
      <c r="AJ15" t="n">
        <v>1</v>
      </c>
      <c r="AL15" t="inlineStr">
        <is>
          <t>Don’t know</t>
        </is>
      </c>
      <c r="AM15" t="inlineStr">
        <is>
          <t>Not sure</t>
        </is>
      </c>
      <c r="AN15" t="inlineStr">
        <is>
          <t>Don’t know</t>
        </is>
      </c>
      <c r="AO15" t="inlineStr">
        <is>
          <t>Don’t know</t>
        </is>
      </c>
      <c r="AP15" t="inlineStr">
        <is>
          <t>Don’t know</t>
        </is>
      </c>
      <c r="AQ15" t="inlineStr">
        <is>
          <t xml:space="preserve">Yes </t>
        </is>
      </c>
      <c r="AR15" t="inlineStr">
        <is>
          <t>Don’t know</t>
        </is>
      </c>
      <c r="AS15" t="inlineStr">
        <is>
          <t>Fatigue</t>
        </is>
      </c>
      <c r="AT15" t="n">
        <v>0</v>
      </c>
      <c r="AU15" t="n">
        <v>0</v>
      </c>
      <c r="AV15" t="n">
        <v>0</v>
      </c>
      <c r="AW15" t="n">
        <v>0</v>
      </c>
      <c r="AX15" t="n">
        <v>0</v>
      </c>
      <c r="AY15" t="n">
        <v>0</v>
      </c>
      <c r="AZ15" t="n">
        <v>1</v>
      </c>
      <c r="BA15" t="n">
        <v>0</v>
      </c>
      <c r="BB15" t="inlineStr">
        <is>
          <t xml:space="preserve"> Get the partner tested before marriage  </t>
        </is>
      </c>
      <c r="BC15" t="n">
        <v>1</v>
      </c>
      <c r="BD15" t="n">
        <v>0</v>
      </c>
      <c r="BE15" t="n">
        <v>0</v>
      </c>
      <c r="BF15" t="n">
        <v>0</v>
      </c>
      <c r="BG15" t="inlineStr">
        <is>
          <t xml:space="preserve">School  </t>
        </is>
      </c>
      <c r="BH15" t="inlineStr">
        <is>
          <t xml:space="preserve">Not sure </t>
        </is>
      </c>
      <c r="BI15" t="inlineStr">
        <is>
          <t xml:space="preserve">No </t>
        </is>
      </c>
      <c r="BJ15" t="inlineStr">
        <is>
          <t xml:space="preserve">Very important </t>
        </is>
      </c>
      <c r="BM15" t="inlineStr">
        <is>
          <t>Concern about causing worry or stress</t>
        </is>
      </c>
      <c r="BP15" t="inlineStr">
        <is>
          <t xml:space="preserve">Disagree </t>
        </is>
      </c>
      <c r="BQ15" t="inlineStr">
        <is>
          <t>No</t>
        </is>
      </c>
      <c r="BS15" t="inlineStr">
        <is>
          <t>Don't know</t>
        </is>
      </c>
      <c r="BT15" t="inlineStr">
        <is>
          <t>Don't know</t>
        </is>
      </c>
      <c r="BU15" t="inlineStr">
        <is>
          <t>Don't know</t>
        </is>
      </c>
      <c r="BV15" t="inlineStr">
        <is>
          <t xml:space="preserve">Lack of knowledge </t>
        </is>
      </c>
      <c r="BW15" t="n">
        <v>1</v>
      </c>
      <c r="BX15" t="n">
        <v>0</v>
      </c>
      <c r="BY15" t="n">
        <v>0</v>
      </c>
      <c r="BZ15" t="n">
        <v>0</v>
      </c>
      <c r="CA15" t="n">
        <v>0</v>
      </c>
      <c r="CB15" t="n">
        <v>0</v>
      </c>
      <c r="CD15" t="inlineStr">
        <is>
          <t xml:space="preserve">Difficult </t>
        </is>
      </c>
      <c r="CE15" t="inlineStr">
        <is>
          <t xml:space="preserve"> Very important</t>
        </is>
      </c>
      <c r="CF15" t="n">
        <v>593416776</v>
      </c>
      <c r="CG15" t="inlineStr">
        <is>
          <t>31cc08b5-e383-4425-bcf0-fe6495d3ea81</t>
        </is>
      </c>
      <c r="CH15" s="1" t="n">
        <v>45959.41725694444</v>
      </c>
      <c r="CK15" t="inlineStr">
        <is>
          <t>submitted_via_web</t>
        </is>
      </c>
      <c r="CM15" t="inlineStr">
        <is>
          <t>vteYUDpqfKnk39PHFZkvPS</t>
        </is>
      </c>
      <c r="CO15" t="inlineStr">
        <is>
          <t>uuid:31cc08b5-e383-4425-bcf0-fe6495d3ea81</t>
        </is>
      </c>
      <c r="CP15" t="n">
        <v>14</v>
      </c>
      <c r="CQ15" t="n">
        <v>1</v>
      </c>
      <c r="CR15" t="n">
        <v>-1.097148644453239</v>
      </c>
    </row>
    <row r="16">
      <c r="A16" s="1" t="n">
        <v>45958.77689297454</v>
      </c>
      <c r="B16" s="1" t="n">
        <v>45959.66660275463</v>
      </c>
      <c r="D16" t="inlineStr">
        <is>
          <t>26</t>
        </is>
      </c>
      <c r="E16" t="inlineStr">
        <is>
          <t>Female</t>
        </is>
      </c>
      <c r="F16" t="inlineStr">
        <is>
          <t>Sinhalese</t>
        </is>
      </c>
      <c r="H16" t="inlineStr">
        <is>
          <t>Buddhist</t>
        </is>
      </c>
      <c r="J16" t="inlineStr">
        <is>
          <t>Not employed</t>
        </is>
      </c>
      <c r="L16" t="inlineStr">
        <is>
          <t xml:space="preserve">Up to A/L </t>
        </is>
      </c>
      <c r="M16" t="inlineStr">
        <is>
          <t>Western</t>
        </is>
      </c>
      <c r="N16" t="inlineStr">
        <is>
          <t>Single</t>
        </is>
      </c>
      <c r="P16" t="inlineStr">
        <is>
          <t xml:space="preserve"> I don’t know</t>
        </is>
      </c>
      <c r="R16" s="1" t="n">
        <v>43511</v>
      </c>
      <c r="S16" t="inlineStr">
        <is>
          <t xml:space="preserve">During school/university  </t>
        </is>
      </c>
      <c r="U16" t="inlineStr">
        <is>
          <t>Don’t know</t>
        </is>
      </c>
      <c r="V16" t="inlineStr">
        <is>
          <t xml:space="preserve">Thalassemia major (severe form)  </t>
        </is>
      </c>
      <c r="W16" t="n">
        <v>1</v>
      </c>
      <c r="X16" t="n">
        <v>0</v>
      </c>
      <c r="Y16" t="n">
        <v>0</v>
      </c>
      <c r="Z16" t="n">
        <v>0</v>
      </c>
      <c r="AA16" t="inlineStr">
        <is>
          <t>I don’t know</t>
        </is>
      </c>
      <c r="AB16" t="n">
        <v>0</v>
      </c>
      <c r="AC16" t="n">
        <v>0</v>
      </c>
      <c r="AD16" t="n">
        <v>0</v>
      </c>
      <c r="AE16" t="n">
        <v>1</v>
      </c>
      <c r="AF16" t="inlineStr">
        <is>
          <t>Thalassemia minor or trait (carrier form)</t>
        </is>
      </c>
      <c r="AG16" t="n">
        <v>0</v>
      </c>
      <c r="AH16" t="n">
        <v>1</v>
      </c>
      <c r="AI16" t="n">
        <v>0</v>
      </c>
      <c r="AJ16" t="n">
        <v>0</v>
      </c>
      <c r="AK16" t="inlineStr">
        <is>
          <t>Don’t know</t>
        </is>
      </c>
      <c r="AL16" t="inlineStr">
        <is>
          <t>Can be cured with common treatments</t>
        </is>
      </c>
      <c r="AM16" t="inlineStr">
        <is>
          <t xml:space="preserve">Can be prevented </t>
        </is>
      </c>
      <c r="AN16" t="inlineStr">
        <is>
          <t xml:space="preserve">From generation to generation (hereditary)  </t>
        </is>
      </c>
      <c r="AO16" t="inlineStr">
        <is>
          <t xml:space="preserve">Not healthy  </t>
        </is>
      </c>
      <c r="AP16" t="inlineStr">
        <is>
          <t>Always affected by thalassemia</t>
        </is>
      </c>
      <c r="AQ16" t="inlineStr">
        <is>
          <t>No</t>
        </is>
      </c>
      <c r="AR16" t="inlineStr">
        <is>
          <t>Don’t know</t>
        </is>
      </c>
      <c r="BB16" t="inlineStr">
        <is>
          <t xml:space="preserve">Get family members tested </t>
        </is>
      </c>
      <c r="BC16" t="n">
        <v>0</v>
      </c>
      <c r="BD16" t="n">
        <v>1</v>
      </c>
      <c r="BE16" t="n">
        <v>0</v>
      </c>
      <c r="BF16" t="n">
        <v>0</v>
      </c>
      <c r="BG16" t="inlineStr">
        <is>
          <t>Only found out after screening</t>
        </is>
      </c>
      <c r="BH16" t="inlineStr">
        <is>
          <t>Definitely not</t>
        </is>
      </c>
      <c r="BI16" t="inlineStr">
        <is>
          <t xml:space="preserve">Yes </t>
        </is>
      </c>
      <c r="BJ16" t="inlineStr">
        <is>
          <t xml:space="preserve">Very important </t>
        </is>
      </c>
      <c r="BP16" t="inlineStr">
        <is>
          <t xml:space="preserve">Agree </t>
        </is>
      </c>
      <c r="BQ16" t="inlineStr">
        <is>
          <t xml:space="preserve">Yes </t>
        </is>
      </c>
      <c r="BS16" t="inlineStr">
        <is>
          <t>None</t>
        </is>
      </c>
      <c r="BT16" t="inlineStr">
        <is>
          <t>Some</t>
        </is>
      </c>
      <c r="CD16" t="inlineStr">
        <is>
          <t xml:space="preserve">Somewhat easy </t>
        </is>
      </c>
      <c r="CE16" t="inlineStr">
        <is>
          <t xml:space="preserve"> Very important</t>
        </is>
      </c>
      <c r="CF16" t="n">
        <v>593444545</v>
      </c>
      <c r="CG16" t="inlineStr">
        <is>
          <t>16ed1a2b-44d5-4b10-a33c-e0d91f3c083b</t>
        </is>
      </c>
      <c r="CH16" s="1" t="n">
        <v>45959.4374537037</v>
      </c>
      <c r="CK16" t="inlineStr">
        <is>
          <t>submitted_via_web</t>
        </is>
      </c>
      <c r="CM16" t="inlineStr">
        <is>
          <t>vteYUDpqfKnk39PHFZkvPS</t>
        </is>
      </c>
      <c r="CO16" t="inlineStr">
        <is>
          <t>uuid:16ed1a2b-44d5-4b10-a33c-e0d91f3c083b</t>
        </is>
      </c>
      <c r="CP16" t="n">
        <v>15</v>
      </c>
      <c r="CQ16" t="n">
        <v>1</v>
      </c>
      <c r="CR16" t="n">
        <v>-1.097148644453239</v>
      </c>
    </row>
    <row r="17">
      <c r="A17" s="1" t="n">
        <v>45959.66660313657</v>
      </c>
      <c r="B17" s="1" t="n">
        <v>45959.69718849537</v>
      </c>
      <c r="D17" t="inlineStr">
        <is>
          <t>38</t>
        </is>
      </c>
      <c r="E17" t="inlineStr">
        <is>
          <t xml:space="preserve">Male </t>
        </is>
      </c>
      <c r="F17" t="inlineStr">
        <is>
          <t>Sinhalese</t>
        </is>
      </c>
      <c r="H17" t="inlineStr">
        <is>
          <t>Buddhist</t>
        </is>
      </c>
      <c r="J17" t="inlineStr">
        <is>
          <t>Government sector</t>
        </is>
      </c>
      <c r="K17" t="inlineStr">
        <is>
          <t>51,000 – 100,000</t>
        </is>
      </c>
      <c r="L17" t="inlineStr">
        <is>
          <t xml:space="preserve">Up to O/L </t>
        </is>
      </c>
      <c r="M17" t="inlineStr">
        <is>
          <t xml:space="preserve">Southern </t>
        </is>
      </c>
      <c r="N17" t="inlineStr">
        <is>
          <t xml:space="preserve">Married </t>
        </is>
      </c>
      <c r="O17" t="inlineStr">
        <is>
          <t xml:space="preserve">Yes, only one child </t>
        </is>
      </c>
      <c r="P17" t="inlineStr">
        <is>
          <t>No</t>
        </is>
      </c>
      <c r="R17" s="1" t="n">
        <v>43517</v>
      </c>
      <c r="S17" t="inlineStr">
        <is>
          <t>At workplace</t>
        </is>
      </c>
      <c r="U17" t="inlineStr">
        <is>
          <t>Don’t know</t>
        </is>
      </c>
      <c r="V17" t="inlineStr">
        <is>
          <t>I don’t know</t>
        </is>
      </c>
      <c r="W17" t="n">
        <v>0</v>
      </c>
      <c r="X17" t="n">
        <v>0</v>
      </c>
      <c r="Y17" t="n">
        <v>0</v>
      </c>
      <c r="Z17" t="n">
        <v>1</v>
      </c>
      <c r="AA17" t="inlineStr">
        <is>
          <t>Thalassemia major (severe form)   I don’t know</t>
        </is>
      </c>
      <c r="AB17" t="n">
        <v>1</v>
      </c>
      <c r="AC17" t="n">
        <v>0</v>
      </c>
      <c r="AD17" t="n">
        <v>0</v>
      </c>
      <c r="AE17" t="n">
        <v>1</v>
      </c>
      <c r="AF17" t="inlineStr">
        <is>
          <t>Thalassemia minor or trait (carrier form)</t>
        </is>
      </c>
      <c r="AG17" t="n">
        <v>0</v>
      </c>
      <c r="AH17" t="n">
        <v>1</v>
      </c>
      <c r="AI17" t="n">
        <v>0</v>
      </c>
      <c r="AJ17" t="n">
        <v>0</v>
      </c>
      <c r="AK17" t="inlineStr">
        <is>
          <t>Don’t know</t>
        </is>
      </c>
      <c r="AL17" t="inlineStr">
        <is>
          <t xml:space="preserve">Cannot be cured   </t>
        </is>
      </c>
      <c r="AM17" t="inlineStr">
        <is>
          <t xml:space="preserve">Can be prevented </t>
        </is>
      </c>
      <c r="AN17" t="inlineStr">
        <is>
          <t xml:space="preserve">From generation to generation (hereditary)  </t>
        </is>
      </c>
      <c r="AO17" t="inlineStr">
        <is>
          <t>Healthy</t>
        </is>
      </c>
      <c r="AP17" t="inlineStr">
        <is>
          <t xml:space="preserve">Has a chance to be affected (e.g., 25%) </t>
        </is>
      </c>
      <c r="AQ17" t="inlineStr">
        <is>
          <t>No</t>
        </is>
      </c>
      <c r="AR17" t="inlineStr">
        <is>
          <t>Don’t know</t>
        </is>
      </c>
      <c r="AS17" t="inlineStr">
        <is>
          <t>Delayed growth and puberty Risk of infections from transfusions Frequent nosebleeds Fatigue Bone deformities</t>
        </is>
      </c>
      <c r="AT17" t="n">
        <v>0</v>
      </c>
      <c r="AU17" t="n">
        <v>0</v>
      </c>
      <c r="AV17" t="n">
        <v>1</v>
      </c>
      <c r="AW17" t="n">
        <v>0</v>
      </c>
      <c r="AX17" t="n">
        <v>1</v>
      </c>
      <c r="AY17" t="n">
        <v>1</v>
      </c>
      <c r="AZ17" t="n">
        <v>1</v>
      </c>
      <c r="BA17" t="n">
        <v>1</v>
      </c>
      <c r="BB17" t="inlineStr">
        <is>
          <t xml:space="preserve">Get family members tested </t>
        </is>
      </c>
      <c r="BC17" t="n">
        <v>0</v>
      </c>
      <c r="BD17" t="n">
        <v>1</v>
      </c>
      <c r="BE17" t="n">
        <v>0</v>
      </c>
      <c r="BF17" t="n">
        <v>0</v>
      </c>
      <c r="BG17" t="inlineStr">
        <is>
          <t>Only found out after screening</t>
        </is>
      </c>
      <c r="BH17" t="inlineStr">
        <is>
          <t xml:space="preserve">Not sure </t>
        </is>
      </c>
      <c r="BI17" t="inlineStr">
        <is>
          <t xml:space="preserve">No </t>
        </is>
      </c>
      <c r="BJ17" t="inlineStr">
        <is>
          <t xml:space="preserve">Very important </t>
        </is>
      </c>
      <c r="BK17" t="inlineStr">
        <is>
          <t xml:space="preserve">Did not screen partner </t>
        </is>
      </c>
      <c r="BP17" t="inlineStr">
        <is>
          <t xml:space="preserve">Agree </t>
        </is>
      </c>
      <c r="BQ17" t="inlineStr">
        <is>
          <t xml:space="preserve">Yes </t>
        </is>
      </c>
      <c r="BS17" t="inlineStr">
        <is>
          <t>None</t>
        </is>
      </c>
      <c r="BT17" t="inlineStr">
        <is>
          <t>None</t>
        </is>
      </c>
      <c r="BU17" t="inlineStr">
        <is>
          <t>None</t>
        </is>
      </c>
      <c r="BV17" t="inlineStr">
        <is>
          <t xml:space="preserve">Lack of knowledge </t>
        </is>
      </c>
      <c r="BW17" t="n">
        <v>1</v>
      </c>
      <c r="BX17" t="n">
        <v>0</v>
      </c>
      <c r="BY17" t="n">
        <v>0</v>
      </c>
      <c r="BZ17" t="n">
        <v>0</v>
      </c>
      <c r="CA17" t="n">
        <v>0</v>
      </c>
      <c r="CB17" t="n">
        <v>0</v>
      </c>
      <c r="CD17" t="inlineStr">
        <is>
          <t>Not sure</t>
        </is>
      </c>
      <c r="CE17" t="inlineStr">
        <is>
          <t xml:space="preserve"> Very important</t>
        </is>
      </c>
      <c r="CF17" t="n">
        <v>593485793</v>
      </c>
      <c r="CG17" t="inlineStr">
        <is>
          <t>d517e96c-d7a6-4f0c-aea9-b51842de9c68</t>
        </is>
      </c>
      <c r="CH17" s="1" t="n">
        <v>45959.46800925926</v>
      </c>
      <c r="CK17" t="inlineStr">
        <is>
          <t>submitted_via_web</t>
        </is>
      </c>
      <c r="CM17" t="inlineStr">
        <is>
          <t>vteYUDpqfKnk39PHFZkvPS</t>
        </is>
      </c>
      <c r="CO17" t="inlineStr">
        <is>
          <t>uuid:d517e96c-d7a6-4f0c-aea9-b51842de9c68</t>
        </is>
      </c>
      <c r="CP17" t="n">
        <v>16</v>
      </c>
      <c r="CQ17" t="n">
        <v>5</v>
      </c>
      <c r="CR17" t="n">
        <v>0.4641035858837596</v>
      </c>
    </row>
    <row r="18">
      <c r="A18" s="1" t="n">
        <v>45959.6971890162</v>
      </c>
      <c r="B18" s="1" t="n">
        <v>45959.7070822338</v>
      </c>
      <c r="D18" t="inlineStr">
        <is>
          <t>20</t>
        </is>
      </c>
      <c r="E18" t="inlineStr">
        <is>
          <t>Female</t>
        </is>
      </c>
      <c r="F18" t="inlineStr">
        <is>
          <t>Sinhalese</t>
        </is>
      </c>
      <c r="H18" t="inlineStr">
        <is>
          <t>Buddhist</t>
        </is>
      </c>
      <c r="J18" t="inlineStr">
        <is>
          <t>Not employed</t>
        </is>
      </c>
      <c r="L18" t="inlineStr">
        <is>
          <t xml:space="preserve">Up to A/L </t>
        </is>
      </c>
      <c r="M18" t="inlineStr">
        <is>
          <t>Western</t>
        </is>
      </c>
      <c r="N18" t="inlineStr">
        <is>
          <t>Single</t>
        </is>
      </c>
      <c r="P18" t="inlineStr">
        <is>
          <t>No</t>
        </is>
      </c>
      <c r="R18" s="1" t="n">
        <v>43511</v>
      </c>
      <c r="S18" t="inlineStr">
        <is>
          <t xml:space="preserve">During school/university  </t>
        </is>
      </c>
      <c r="U18" t="inlineStr">
        <is>
          <t>Yes</t>
        </is>
      </c>
      <c r="V18" t="inlineStr">
        <is>
          <t>Thalassemia major (severe form)   Thalassemia minor or trait (carrier form)</t>
        </is>
      </c>
      <c r="W18" t="n">
        <v>1</v>
      </c>
      <c r="X18" t="n">
        <v>1</v>
      </c>
      <c r="Y18" t="n">
        <v>0</v>
      </c>
      <c r="Z18" t="n">
        <v>0</v>
      </c>
      <c r="AA18" t="inlineStr">
        <is>
          <t xml:space="preserve">Thalassemia major (severe form)  </t>
        </is>
      </c>
      <c r="AB18" t="n">
        <v>1</v>
      </c>
      <c r="AC18" t="n">
        <v>0</v>
      </c>
      <c r="AD18" t="n">
        <v>0</v>
      </c>
      <c r="AE18" t="n">
        <v>0</v>
      </c>
      <c r="AF18" t="inlineStr">
        <is>
          <t>Thalassemia minor or trait (carrier form)</t>
        </is>
      </c>
      <c r="AG18" t="n">
        <v>0</v>
      </c>
      <c r="AH18" t="n">
        <v>1</v>
      </c>
      <c r="AI18" t="n">
        <v>0</v>
      </c>
      <c r="AJ18" t="n">
        <v>0</v>
      </c>
      <c r="AK18" t="inlineStr">
        <is>
          <t>Yes</t>
        </is>
      </c>
      <c r="AL18" t="inlineStr">
        <is>
          <t xml:space="preserve">Cannot be cured   </t>
        </is>
      </c>
      <c r="AM18" t="inlineStr">
        <is>
          <t xml:space="preserve">Can be prevented </t>
        </is>
      </c>
      <c r="AN18" t="inlineStr">
        <is>
          <t xml:space="preserve">From generation to generation (hereditary)  </t>
        </is>
      </c>
      <c r="AO18" t="inlineStr">
        <is>
          <t>Healthy</t>
        </is>
      </c>
      <c r="AP18" t="inlineStr">
        <is>
          <t>Don’t know</t>
        </is>
      </c>
      <c r="AQ18" t="inlineStr">
        <is>
          <t>No</t>
        </is>
      </c>
      <c r="AR18" t="inlineStr">
        <is>
          <t>Don’t know</t>
        </is>
      </c>
      <c r="AS18" t="inlineStr">
        <is>
          <t>Regular blood transfusions for life  Delayed growth and puberty Frequent nosebleeds Fatigue Bone deformities</t>
        </is>
      </c>
      <c r="AT18" t="n">
        <v>1</v>
      </c>
      <c r="AU18" t="n">
        <v>0</v>
      </c>
      <c r="AV18" t="n">
        <v>1</v>
      </c>
      <c r="AW18" t="n">
        <v>0</v>
      </c>
      <c r="AX18" t="n">
        <v>0</v>
      </c>
      <c r="AY18" t="n">
        <v>1</v>
      </c>
      <c r="AZ18" t="n">
        <v>1</v>
      </c>
      <c r="BA18" t="n">
        <v>1</v>
      </c>
      <c r="BB18" t="inlineStr">
        <is>
          <t xml:space="preserve">Get family members tested </t>
        </is>
      </c>
      <c r="BC18" t="n">
        <v>0</v>
      </c>
      <c r="BD18" t="n">
        <v>1</v>
      </c>
      <c r="BE18" t="n">
        <v>0</v>
      </c>
      <c r="BF18" t="n">
        <v>0</v>
      </c>
      <c r="BG18" t="inlineStr">
        <is>
          <t>Only found out after screening</t>
        </is>
      </c>
      <c r="BH18" t="inlineStr">
        <is>
          <t xml:space="preserve">Not sure </t>
        </is>
      </c>
      <c r="BI18" t="inlineStr">
        <is>
          <t xml:space="preserve">No </t>
        </is>
      </c>
      <c r="BJ18" t="inlineStr">
        <is>
          <t xml:space="preserve">Very important </t>
        </is>
      </c>
      <c r="BP18" t="inlineStr">
        <is>
          <t xml:space="preserve">Agree </t>
        </is>
      </c>
      <c r="BQ18" t="inlineStr">
        <is>
          <t xml:space="preserve">Yes </t>
        </is>
      </c>
      <c r="BS18" t="inlineStr">
        <is>
          <t>All</t>
        </is>
      </c>
      <c r="BT18" t="inlineStr">
        <is>
          <t>None</t>
        </is>
      </c>
      <c r="BU18" t="inlineStr">
        <is>
          <t>Don't know</t>
        </is>
      </c>
      <c r="CD18" t="inlineStr">
        <is>
          <t xml:space="preserve">Very easy </t>
        </is>
      </c>
      <c r="CE18" t="inlineStr">
        <is>
          <t xml:space="preserve"> Very important</t>
        </is>
      </c>
      <c r="CF18" t="n">
        <v>593498006</v>
      </c>
      <c r="CG18" t="inlineStr">
        <is>
          <t>8584ad59-ddca-4c6d-9535-e0d063f1da90</t>
        </is>
      </c>
      <c r="CH18" s="1" t="n">
        <v>45959.47791666666</v>
      </c>
      <c r="CK18" t="inlineStr">
        <is>
          <t>submitted_via_web</t>
        </is>
      </c>
      <c r="CM18" t="inlineStr">
        <is>
          <t>vteYUDpqfKnk39PHFZkvPS</t>
        </is>
      </c>
      <c r="CO18" t="inlineStr">
        <is>
          <t>uuid:8584ad59-ddca-4c6d-9535-e0d063f1da90</t>
        </is>
      </c>
      <c r="CP18" t="n">
        <v>17</v>
      </c>
      <c r="CQ18" t="n">
        <v>7</v>
      </c>
      <c r="CR18" t="n">
        <v>1.244729701052259</v>
      </c>
    </row>
    <row r="19">
      <c r="A19" s="1" t="n">
        <v>45959.72939072917</v>
      </c>
      <c r="B19" s="1" t="n">
        <v>45959.73088825231</v>
      </c>
      <c r="D19" t="inlineStr">
        <is>
          <t>23</t>
        </is>
      </c>
      <c r="E19" t="inlineStr">
        <is>
          <t>Female</t>
        </is>
      </c>
      <c r="F19" t="inlineStr">
        <is>
          <t>Sinhalese</t>
        </is>
      </c>
      <c r="H19" t="inlineStr">
        <is>
          <t>Roman Catholic</t>
        </is>
      </c>
      <c r="J19" t="inlineStr">
        <is>
          <t>Not employed</t>
        </is>
      </c>
      <c r="L19" t="inlineStr">
        <is>
          <t xml:space="preserve">Undergraduate </t>
        </is>
      </c>
      <c r="M19" t="inlineStr">
        <is>
          <t>Western</t>
        </is>
      </c>
      <c r="N19" t="inlineStr">
        <is>
          <t>Single</t>
        </is>
      </c>
      <c r="P19" t="inlineStr">
        <is>
          <t xml:space="preserve"> Yes </t>
        </is>
      </c>
      <c r="Q19" t="inlineStr">
        <is>
          <t>Thalassemia</t>
        </is>
      </c>
      <c r="S19" t="inlineStr">
        <is>
          <t xml:space="preserve">During school/university  </t>
        </is>
      </c>
      <c r="U19" t="inlineStr">
        <is>
          <t>Yes</t>
        </is>
      </c>
      <c r="V19" t="inlineStr">
        <is>
          <t>Thalassemia major (severe form)   Thalassemia minor or trait (carrier form)</t>
        </is>
      </c>
      <c r="W19" t="n">
        <v>1</v>
      </c>
      <c r="X19" t="n">
        <v>1</v>
      </c>
      <c r="Y19" t="n">
        <v>0</v>
      </c>
      <c r="Z19" t="n">
        <v>0</v>
      </c>
      <c r="AA19" t="inlineStr">
        <is>
          <t xml:space="preserve">Thalassemia major (severe form)  </t>
        </is>
      </c>
      <c r="AB19" t="n">
        <v>1</v>
      </c>
      <c r="AC19" t="n">
        <v>0</v>
      </c>
      <c r="AD19" t="n">
        <v>0</v>
      </c>
      <c r="AE19" t="n">
        <v>0</v>
      </c>
      <c r="AF19" t="inlineStr">
        <is>
          <t>Thalassemia minor or trait (carrier form)</t>
        </is>
      </c>
      <c r="AG19" t="n">
        <v>0</v>
      </c>
      <c r="AH19" t="n">
        <v>1</v>
      </c>
      <c r="AI19" t="n">
        <v>0</v>
      </c>
      <c r="AJ19" t="n">
        <v>0</v>
      </c>
      <c r="AK19" t="inlineStr">
        <is>
          <t>Don’t know</t>
        </is>
      </c>
      <c r="AL19" t="inlineStr">
        <is>
          <t>Don’t know</t>
        </is>
      </c>
      <c r="AM19" t="inlineStr">
        <is>
          <t xml:space="preserve">Can be prevented </t>
        </is>
      </c>
      <c r="AN19" t="inlineStr">
        <is>
          <t xml:space="preserve">From generation to generation (hereditary)  </t>
        </is>
      </c>
      <c r="AO19" t="inlineStr">
        <is>
          <t>Healthy</t>
        </is>
      </c>
      <c r="AP19" t="inlineStr">
        <is>
          <t xml:space="preserve">Has a chance to be affected (e.g., 25%) </t>
        </is>
      </c>
      <c r="AQ19" t="inlineStr">
        <is>
          <t xml:space="preserve">Yes </t>
        </is>
      </c>
      <c r="AR19" t="inlineStr">
        <is>
          <t>Don’t know</t>
        </is>
      </c>
      <c r="AS19" t="inlineStr">
        <is>
          <t xml:space="preserve">Regular blood transfusions for life </t>
        </is>
      </c>
      <c r="AT19" t="n">
        <v>1</v>
      </c>
      <c r="AU19" t="n">
        <v>0</v>
      </c>
      <c r="AV19" t="n">
        <v>0</v>
      </c>
      <c r="AW19" t="n">
        <v>0</v>
      </c>
      <c r="AX19" t="n">
        <v>0</v>
      </c>
      <c r="AY19" t="n">
        <v>0</v>
      </c>
      <c r="AZ19" t="n">
        <v>0</v>
      </c>
      <c r="BA19" t="n">
        <v>0</v>
      </c>
      <c r="BB19" t="inlineStr">
        <is>
          <t xml:space="preserve"> Get the partner tested before marriage   Get family members tested </t>
        </is>
      </c>
      <c r="BC19" t="n">
        <v>1</v>
      </c>
      <c r="BD19" t="n">
        <v>1</v>
      </c>
      <c r="BE19" t="n">
        <v>0</v>
      </c>
      <c r="BF19" t="n">
        <v>0</v>
      </c>
      <c r="BG19" t="inlineStr">
        <is>
          <t xml:space="preserve">School  </t>
        </is>
      </c>
      <c r="BH19" t="inlineStr">
        <is>
          <t>Definitely not</t>
        </is>
      </c>
      <c r="BI19" t="inlineStr">
        <is>
          <t xml:space="preserve">No </t>
        </is>
      </c>
      <c r="BJ19" t="inlineStr">
        <is>
          <t xml:space="preserve">Very important </t>
        </is>
      </c>
      <c r="BK19" t="inlineStr">
        <is>
          <t>Other</t>
        </is>
      </c>
      <c r="BL19" t="inlineStr">
        <is>
          <t>Still not married. Will be screen before marriage</t>
        </is>
      </c>
      <c r="BM19" t="inlineStr">
        <is>
          <t>Other</t>
        </is>
      </c>
      <c r="BN19" t="inlineStr">
        <is>
          <t>Still not married. Will be screen before marriage</t>
        </is>
      </c>
      <c r="BP19" t="inlineStr">
        <is>
          <t xml:space="preserve">Agree </t>
        </is>
      </c>
      <c r="BQ19" t="inlineStr">
        <is>
          <t xml:space="preserve">Yes </t>
        </is>
      </c>
      <c r="BS19" t="inlineStr">
        <is>
          <t>All</t>
        </is>
      </c>
      <c r="BT19" t="inlineStr">
        <is>
          <t>Some</t>
        </is>
      </c>
      <c r="BU19" t="inlineStr">
        <is>
          <t>None</t>
        </is>
      </c>
      <c r="BV19" t="inlineStr">
        <is>
          <t>Concern about stigma or discrimination</t>
        </is>
      </c>
      <c r="BW19" t="n">
        <v>0</v>
      </c>
      <c r="BX19" t="n">
        <v>1</v>
      </c>
      <c r="BY19" t="n">
        <v>0</v>
      </c>
      <c r="BZ19" t="n">
        <v>0</v>
      </c>
      <c r="CA19" t="n">
        <v>0</v>
      </c>
      <c r="CB19" t="n">
        <v>0</v>
      </c>
      <c r="CD19" t="inlineStr">
        <is>
          <t xml:space="preserve">Somewhat easy </t>
        </is>
      </c>
      <c r="CE19" t="inlineStr">
        <is>
          <t xml:space="preserve"> Very important</t>
        </is>
      </c>
      <c r="CF19" t="n">
        <v>593529148</v>
      </c>
      <c r="CG19" t="inlineStr">
        <is>
          <t>1204b046-25bd-484a-bc24-9e5f00007572</t>
        </is>
      </c>
      <c r="CH19" s="1" t="n">
        <v>45959.50185185186</v>
      </c>
      <c r="CK19" t="inlineStr">
        <is>
          <t>submitted_via_web</t>
        </is>
      </c>
      <c r="CM19" t="inlineStr">
        <is>
          <t>vteYUDpqfKnk39PHFZkvPS</t>
        </is>
      </c>
      <c r="CO19" t="inlineStr">
        <is>
          <t>uuid:1204b046-25bd-484a-bc24-9e5f00007572</t>
        </is>
      </c>
      <c r="CP19" t="n">
        <v>18</v>
      </c>
      <c r="CQ19" t="n">
        <v>3</v>
      </c>
      <c r="CR19" t="n">
        <v>-0.3165225292847399</v>
      </c>
    </row>
    <row r="20">
      <c r="A20" s="1" t="n">
        <v>45959.70708255787</v>
      </c>
      <c r="B20" s="1" t="n">
        <v>45959.73129048611</v>
      </c>
      <c r="D20" t="inlineStr">
        <is>
          <t>24</t>
        </is>
      </c>
      <c r="E20" t="inlineStr">
        <is>
          <t xml:space="preserve">Male </t>
        </is>
      </c>
      <c r="F20" t="inlineStr">
        <is>
          <t>Sinhalese</t>
        </is>
      </c>
      <c r="H20" t="inlineStr">
        <is>
          <t>Roman Catholic</t>
        </is>
      </c>
      <c r="J20" t="inlineStr">
        <is>
          <t>Not employed</t>
        </is>
      </c>
      <c r="L20" t="inlineStr">
        <is>
          <t xml:space="preserve">Undergraduate </t>
        </is>
      </c>
      <c r="M20" t="inlineStr">
        <is>
          <t>Western</t>
        </is>
      </c>
      <c r="N20" t="inlineStr">
        <is>
          <t>Single</t>
        </is>
      </c>
      <c r="P20" t="inlineStr">
        <is>
          <t xml:space="preserve"> Yes </t>
        </is>
      </c>
      <c r="Q20" t="inlineStr">
        <is>
          <t>Thalassemia</t>
        </is>
      </c>
      <c r="R20" s="1" t="n">
        <v>43496</v>
      </c>
      <c r="S20" t="inlineStr">
        <is>
          <t xml:space="preserve">During school/university  </t>
        </is>
      </c>
      <c r="U20" t="inlineStr">
        <is>
          <t>Yes</t>
        </is>
      </c>
      <c r="V20" t="inlineStr">
        <is>
          <t>Thalassemia major (severe form)   Thalassemia minor or trait (carrier form)</t>
        </is>
      </c>
      <c r="W20" t="n">
        <v>1</v>
      </c>
      <c r="X20" t="n">
        <v>1</v>
      </c>
      <c r="Y20" t="n">
        <v>0</v>
      </c>
      <c r="Z20" t="n">
        <v>0</v>
      </c>
      <c r="AA20" t="inlineStr">
        <is>
          <t xml:space="preserve">Thalassemia major (severe form)  </t>
        </is>
      </c>
      <c r="AB20" t="n">
        <v>1</v>
      </c>
      <c r="AC20" t="n">
        <v>0</v>
      </c>
      <c r="AD20" t="n">
        <v>0</v>
      </c>
      <c r="AE20" t="n">
        <v>0</v>
      </c>
      <c r="AF20" t="inlineStr">
        <is>
          <t>Thalassemia minor or trait (carrier form)</t>
        </is>
      </c>
      <c r="AG20" t="n">
        <v>0</v>
      </c>
      <c r="AH20" t="n">
        <v>1</v>
      </c>
      <c r="AI20" t="n">
        <v>0</v>
      </c>
      <c r="AJ20" t="n">
        <v>0</v>
      </c>
      <c r="AK20" t="inlineStr">
        <is>
          <t>Yes</t>
        </is>
      </c>
      <c r="AL20" t="inlineStr">
        <is>
          <t xml:space="preserve">Cannot be cured   </t>
        </is>
      </c>
      <c r="AM20" t="inlineStr">
        <is>
          <t xml:space="preserve">Can be prevented </t>
        </is>
      </c>
      <c r="AN20" t="inlineStr">
        <is>
          <t xml:space="preserve">From generation to generation (hereditary)  </t>
        </is>
      </c>
      <c r="AO20" t="inlineStr">
        <is>
          <t>Healthy</t>
        </is>
      </c>
      <c r="AP20" t="inlineStr">
        <is>
          <t xml:space="preserve">Has a chance to be affected (e.g., 25%) </t>
        </is>
      </c>
      <c r="AQ20" t="inlineStr">
        <is>
          <t xml:space="preserve">Yes </t>
        </is>
      </c>
      <c r="AR20" t="inlineStr">
        <is>
          <t>Don’t know</t>
        </is>
      </c>
      <c r="AS20" t="inlineStr">
        <is>
          <t>Regular blood transfusions for life  Risk of infections from transfusions Fatigue Bone deformities</t>
        </is>
      </c>
      <c r="AT20" t="n">
        <v>1</v>
      </c>
      <c r="AU20" t="n">
        <v>0</v>
      </c>
      <c r="AV20" t="n">
        <v>0</v>
      </c>
      <c r="AW20" t="n">
        <v>0</v>
      </c>
      <c r="AX20" t="n">
        <v>1</v>
      </c>
      <c r="AY20" t="n">
        <v>0</v>
      </c>
      <c r="AZ20" t="n">
        <v>1</v>
      </c>
      <c r="BA20" t="n">
        <v>1</v>
      </c>
      <c r="BB20" t="inlineStr">
        <is>
          <t xml:space="preserve">Get family members tested </t>
        </is>
      </c>
      <c r="BC20" t="n">
        <v>0</v>
      </c>
      <c r="BD20" t="n">
        <v>1</v>
      </c>
      <c r="BE20" t="n">
        <v>0</v>
      </c>
      <c r="BF20" t="n">
        <v>0</v>
      </c>
      <c r="BG20" t="inlineStr">
        <is>
          <t xml:space="preserve">Family </t>
        </is>
      </c>
      <c r="BH20" t="inlineStr">
        <is>
          <t>Definitely not</t>
        </is>
      </c>
      <c r="BI20" t="inlineStr">
        <is>
          <t xml:space="preserve">No </t>
        </is>
      </c>
      <c r="BJ20" t="inlineStr">
        <is>
          <t xml:space="preserve">Very important </t>
        </is>
      </c>
      <c r="BP20" t="inlineStr">
        <is>
          <t xml:space="preserve">Agree </t>
        </is>
      </c>
      <c r="BQ20" t="inlineStr">
        <is>
          <t xml:space="preserve">Yes </t>
        </is>
      </c>
      <c r="BS20" t="inlineStr">
        <is>
          <t>Some</t>
        </is>
      </c>
      <c r="BT20" t="inlineStr">
        <is>
          <t>Don't know</t>
        </is>
      </c>
      <c r="BU20" t="inlineStr">
        <is>
          <t>Don't know</t>
        </is>
      </c>
      <c r="CD20" t="inlineStr">
        <is>
          <t xml:space="preserve">Very easy </t>
        </is>
      </c>
      <c r="CE20" t="inlineStr">
        <is>
          <t xml:space="preserve"> Very important</t>
        </is>
      </c>
      <c r="CF20" t="n">
        <v>593529499</v>
      </c>
      <c r="CG20" t="inlineStr">
        <is>
          <t>fbcda718-b7b4-4710-9202-72f1e971003f</t>
        </is>
      </c>
      <c r="CH20" s="1" t="n">
        <v>45959.50211805556</v>
      </c>
      <c r="CK20" t="inlineStr">
        <is>
          <t>submitted_via_web</t>
        </is>
      </c>
      <c r="CM20" t="inlineStr">
        <is>
          <t>vteYUDpqfKnk39PHFZkvPS</t>
        </is>
      </c>
      <c r="CO20" t="inlineStr">
        <is>
          <t>uuid:fbcda718-b7b4-4710-9202-72f1e971003f</t>
        </is>
      </c>
      <c r="CP20" t="n">
        <v>19</v>
      </c>
      <c r="CQ20" t="n">
        <v>6</v>
      </c>
      <c r="CR20" t="n">
        <v>0.8544166434680093</v>
      </c>
    </row>
    <row r="21">
      <c r="A21" s="1" t="n">
        <v>45959.73088929398</v>
      </c>
      <c r="B21" s="1" t="n">
        <v>45959.73612480324</v>
      </c>
      <c r="D21" t="inlineStr">
        <is>
          <t>43</t>
        </is>
      </c>
      <c r="E21" t="inlineStr">
        <is>
          <t xml:space="preserve">Male </t>
        </is>
      </c>
      <c r="F21" t="inlineStr">
        <is>
          <t>Sinhalese</t>
        </is>
      </c>
      <c r="H21" t="inlineStr">
        <is>
          <t>Roman Catholic</t>
        </is>
      </c>
      <c r="J21" t="inlineStr">
        <is>
          <t>Government sector</t>
        </is>
      </c>
      <c r="K21" t="inlineStr">
        <is>
          <t>25,000 – 50,000</t>
        </is>
      </c>
      <c r="L21" t="inlineStr">
        <is>
          <t xml:space="preserve">Up to A/L </t>
        </is>
      </c>
      <c r="M21" t="inlineStr">
        <is>
          <t>Western</t>
        </is>
      </c>
      <c r="N21" t="inlineStr">
        <is>
          <t xml:space="preserve">Married </t>
        </is>
      </c>
      <c r="O21" t="inlineStr">
        <is>
          <t xml:space="preserve">Yes, more than one child </t>
        </is>
      </c>
      <c r="P21" t="inlineStr">
        <is>
          <t xml:space="preserve"> Yes </t>
        </is>
      </c>
      <c r="Q21" t="inlineStr">
        <is>
          <t>Thalassemia</t>
        </is>
      </c>
      <c r="S21" t="inlineStr">
        <is>
          <t>At workplace</t>
        </is>
      </c>
      <c r="U21" t="inlineStr">
        <is>
          <t>Yes</t>
        </is>
      </c>
      <c r="V21" t="inlineStr">
        <is>
          <t>Thalassemia major (severe form)   Thalassemia minor or trait (carrier form)</t>
        </is>
      </c>
      <c r="W21" t="n">
        <v>1</v>
      </c>
      <c r="X21" t="n">
        <v>1</v>
      </c>
      <c r="Y21" t="n">
        <v>0</v>
      </c>
      <c r="Z21" t="n">
        <v>0</v>
      </c>
      <c r="AA21" t="inlineStr">
        <is>
          <t>I don’t know</t>
        </is>
      </c>
      <c r="AB21" t="n">
        <v>0</v>
      </c>
      <c r="AC21" t="n">
        <v>0</v>
      </c>
      <c r="AD21" t="n">
        <v>0</v>
      </c>
      <c r="AE21" t="n">
        <v>1</v>
      </c>
      <c r="AF21" t="inlineStr">
        <is>
          <t>Thalassemia minor or trait (carrier form)</t>
        </is>
      </c>
      <c r="AG21" t="n">
        <v>0</v>
      </c>
      <c r="AH21" t="n">
        <v>1</v>
      </c>
      <c r="AI21" t="n">
        <v>0</v>
      </c>
      <c r="AJ21" t="n">
        <v>0</v>
      </c>
      <c r="AK21" t="inlineStr">
        <is>
          <t>Don’t know</t>
        </is>
      </c>
      <c r="AL21" t="inlineStr">
        <is>
          <t>Don’t know</t>
        </is>
      </c>
      <c r="AM21" t="inlineStr">
        <is>
          <t>Cannot be prevented</t>
        </is>
      </c>
      <c r="AN21" t="inlineStr">
        <is>
          <t xml:space="preserve">From generation to generation (hereditary)  </t>
        </is>
      </c>
      <c r="AO21" t="inlineStr">
        <is>
          <t>Healthy</t>
        </is>
      </c>
      <c r="AP21" t="inlineStr">
        <is>
          <t xml:space="preserve">Has a chance to be affected (e.g., 25%) </t>
        </is>
      </c>
      <c r="AQ21" t="inlineStr">
        <is>
          <t xml:space="preserve">Yes </t>
        </is>
      </c>
      <c r="AR21" t="inlineStr">
        <is>
          <t>Don’t know</t>
        </is>
      </c>
      <c r="BB21" t="inlineStr">
        <is>
          <t xml:space="preserve"> Get the partner tested before marriage   Get family members tested </t>
        </is>
      </c>
      <c r="BC21" t="n">
        <v>1</v>
      </c>
      <c r="BD21" t="n">
        <v>1</v>
      </c>
      <c r="BE21" t="n">
        <v>0</v>
      </c>
      <c r="BF21" t="n">
        <v>0</v>
      </c>
      <c r="BG21" t="inlineStr">
        <is>
          <t xml:space="preserve">School  </t>
        </is>
      </c>
      <c r="BH21" t="inlineStr">
        <is>
          <t>Definitely not</t>
        </is>
      </c>
      <c r="BI21" t="inlineStr">
        <is>
          <t xml:space="preserve">No </t>
        </is>
      </c>
      <c r="BJ21" t="inlineStr">
        <is>
          <t xml:space="preserve">Very important </t>
        </is>
      </c>
      <c r="BK21" t="inlineStr">
        <is>
          <t xml:space="preserve"> Partner was screened after marriage </t>
        </is>
      </c>
      <c r="BM21" t="inlineStr">
        <is>
          <t>Other</t>
        </is>
      </c>
      <c r="BN21" t="inlineStr">
        <is>
          <t>Don't know before the marriage</t>
        </is>
      </c>
      <c r="BP21" t="inlineStr">
        <is>
          <t xml:space="preserve">Agree </t>
        </is>
      </c>
      <c r="BQ21" t="inlineStr">
        <is>
          <t xml:space="preserve">Yes </t>
        </is>
      </c>
      <c r="BS21" t="inlineStr">
        <is>
          <t>All</t>
        </is>
      </c>
      <c r="BT21" t="inlineStr">
        <is>
          <t>None</t>
        </is>
      </c>
      <c r="BU21" t="inlineStr">
        <is>
          <t>None</t>
        </is>
      </c>
      <c r="BV21" t="inlineStr">
        <is>
          <t>Concern about stigma or discrimination</t>
        </is>
      </c>
      <c r="BW21" t="n">
        <v>0</v>
      </c>
      <c r="BX21" t="n">
        <v>1</v>
      </c>
      <c r="BY21" t="n">
        <v>0</v>
      </c>
      <c r="BZ21" t="n">
        <v>0</v>
      </c>
      <c r="CA21" t="n">
        <v>0</v>
      </c>
      <c r="CB21" t="n">
        <v>0</v>
      </c>
      <c r="CD21" t="inlineStr">
        <is>
          <t xml:space="preserve">Somewhat easy </t>
        </is>
      </c>
      <c r="CE21" t="inlineStr">
        <is>
          <t xml:space="preserve"> Very important</t>
        </is>
      </c>
      <c r="CF21" t="n">
        <v>593537040</v>
      </c>
      <c r="CG21" t="inlineStr">
        <is>
          <t>f41e0846-962d-413f-bec2-08a32f27dc79</t>
        </is>
      </c>
      <c r="CH21" s="1" t="n">
        <v>45959.50697916667</v>
      </c>
      <c r="CK21" t="inlineStr">
        <is>
          <t>submitted_via_web</t>
        </is>
      </c>
      <c r="CM21" t="inlineStr">
        <is>
          <t>vteYUDpqfKnk39PHFZkvPS</t>
        </is>
      </c>
      <c r="CO21" t="inlineStr">
        <is>
          <t>uuid:f41e0846-962d-413f-bec2-08a32f27dc79</t>
        </is>
      </c>
      <c r="CP21" t="n">
        <v>20</v>
      </c>
      <c r="CQ21" t="n">
        <v>2</v>
      </c>
      <c r="CR21" t="n">
        <v>-0.7068355868689896</v>
      </c>
    </row>
    <row r="22">
      <c r="A22" s="1" t="n">
        <v>45959.73612591435</v>
      </c>
      <c r="B22" s="1" t="n">
        <v>45959.74992399305</v>
      </c>
      <c r="D22" t="inlineStr">
        <is>
          <t>22</t>
        </is>
      </c>
      <c r="E22" t="inlineStr">
        <is>
          <t>Female</t>
        </is>
      </c>
      <c r="F22" t="inlineStr">
        <is>
          <t>Sinhalese</t>
        </is>
      </c>
      <c r="H22" t="inlineStr">
        <is>
          <t>Roman Catholic</t>
        </is>
      </c>
      <c r="J22" t="inlineStr">
        <is>
          <t>Not employed</t>
        </is>
      </c>
      <c r="L22" t="inlineStr">
        <is>
          <t xml:space="preserve">Undergraduate </t>
        </is>
      </c>
      <c r="M22" t="inlineStr">
        <is>
          <t>Western</t>
        </is>
      </c>
      <c r="N22" t="inlineStr">
        <is>
          <t>Single</t>
        </is>
      </c>
      <c r="P22" t="inlineStr">
        <is>
          <t>No</t>
        </is>
      </c>
      <c r="S22" t="inlineStr">
        <is>
          <t xml:space="preserve">During school/university  </t>
        </is>
      </c>
      <c r="U22" t="inlineStr">
        <is>
          <t>Yes</t>
        </is>
      </c>
      <c r="V22" t="inlineStr">
        <is>
          <t>Thalassemia major (severe form)   Thalassemia minor or trait (carrier form)</t>
        </is>
      </c>
      <c r="W22" t="n">
        <v>1</v>
      </c>
      <c r="X22" t="n">
        <v>1</v>
      </c>
      <c r="Y22" t="n">
        <v>0</v>
      </c>
      <c r="Z22" t="n">
        <v>0</v>
      </c>
      <c r="AA22" t="inlineStr">
        <is>
          <t>Thalassemia minor or trait (carrier form)</t>
        </is>
      </c>
      <c r="AB22" t="n">
        <v>0</v>
      </c>
      <c r="AC22" t="n">
        <v>1</v>
      </c>
      <c r="AD22" t="n">
        <v>0</v>
      </c>
      <c r="AE22" t="n">
        <v>0</v>
      </c>
      <c r="AF22" t="inlineStr">
        <is>
          <t>I don’t know</t>
        </is>
      </c>
      <c r="AG22" t="n">
        <v>0</v>
      </c>
      <c r="AH22" t="n">
        <v>0</v>
      </c>
      <c r="AI22" t="n">
        <v>0</v>
      </c>
      <c r="AJ22" t="n">
        <v>1</v>
      </c>
      <c r="AK22" t="inlineStr">
        <is>
          <t>Yes</t>
        </is>
      </c>
      <c r="AL22" t="inlineStr">
        <is>
          <t>Don’t know</t>
        </is>
      </c>
      <c r="AM22" t="inlineStr">
        <is>
          <t xml:space="preserve">Can be prevented </t>
        </is>
      </c>
      <c r="AN22" t="inlineStr">
        <is>
          <t xml:space="preserve">From generation to generation (hereditary)  </t>
        </is>
      </c>
      <c r="AO22" t="inlineStr">
        <is>
          <t>Healthy</t>
        </is>
      </c>
      <c r="AP22" t="inlineStr">
        <is>
          <t xml:space="preserve">Has a chance to be affected (e.g., 25%) </t>
        </is>
      </c>
      <c r="AQ22" t="inlineStr">
        <is>
          <t xml:space="preserve">Yes </t>
        </is>
      </c>
      <c r="AR22" t="inlineStr">
        <is>
          <t>Don’t know</t>
        </is>
      </c>
      <c r="AS22" t="inlineStr">
        <is>
          <t xml:space="preserve">Regular blood transfusions for life </t>
        </is>
      </c>
      <c r="AT22" t="n">
        <v>1</v>
      </c>
      <c r="AU22" t="n">
        <v>0</v>
      </c>
      <c r="AV22" t="n">
        <v>0</v>
      </c>
      <c r="AW22" t="n">
        <v>0</v>
      </c>
      <c r="AX22" t="n">
        <v>0</v>
      </c>
      <c r="AY22" t="n">
        <v>0</v>
      </c>
      <c r="AZ22" t="n">
        <v>0</v>
      </c>
      <c r="BA22" t="n">
        <v>0</v>
      </c>
      <c r="BB22" t="inlineStr">
        <is>
          <t xml:space="preserve"> Get the partner tested before marriage   Get family members tested </t>
        </is>
      </c>
      <c r="BC22" t="n">
        <v>1</v>
      </c>
      <c r="BD22" t="n">
        <v>1</v>
      </c>
      <c r="BE22" t="n">
        <v>0</v>
      </c>
      <c r="BF22" t="n">
        <v>0</v>
      </c>
      <c r="BG22" t="inlineStr">
        <is>
          <t xml:space="preserve">School  </t>
        </is>
      </c>
      <c r="BH22" t="inlineStr">
        <is>
          <t>Definitely not</t>
        </is>
      </c>
      <c r="BI22" t="inlineStr">
        <is>
          <t xml:space="preserve">No </t>
        </is>
      </c>
      <c r="BJ22" t="inlineStr">
        <is>
          <t xml:space="preserve">Very important </t>
        </is>
      </c>
      <c r="BK22" t="inlineStr">
        <is>
          <t>Other</t>
        </is>
      </c>
      <c r="BL22" t="inlineStr">
        <is>
          <t>Still not married. Will be screen before marriage</t>
        </is>
      </c>
      <c r="BM22" t="inlineStr">
        <is>
          <t>Other</t>
        </is>
      </c>
      <c r="BN22" t="inlineStr">
        <is>
          <t>Still not married. Will be screen before marriage</t>
        </is>
      </c>
      <c r="BP22" t="inlineStr">
        <is>
          <t xml:space="preserve">Agree </t>
        </is>
      </c>
      <c r="BQ22" t="inlineStr">
        <is>
          <t xml:space="preserve">Yes </t>
        </is>
      </c>
      <c r="BS22" t="inlineStr">
        <is>
          <t>All</t>
        </is>
      </c>
      <c r="BT22" t="inlineStr">
        <is>
          <t>None</t>
        </is>
      </c>
      <c r="BU22" t="inlineStr">
        <is>
          <t>None</t>
        </is>
      </c>
      <c r="BV22" t="inlineStr">
        <is>
          <t>Concern about stigma or discrimination</t>
        </is>
      </c>
      <c r="BW22" t="n">
        <v>0</v>
      </c>
      <c r="BX22" t="n">
        <v>1</v>
      </c>
      <c r="BY22" t="n">
        <v>0</v>
      </c>
      <c r="BZ22" t="n">
        <v>0</v>
      </c>
      <c r="CA22" t="n">
        <v>0</v>
      </c>
      <c r="CB22" t="n">
        <v>0</v>
      </c>
      <c r="CD22" t="inlineStr">
        <is>
          <t xml:space="preserve">Somewhat easy </t>
        </is>
      </c>
      <c r="CE22" t="inlineStr">
        <is>
          <t xml:space="preserve"> Very important</t>
        </is>
      </c>
      <c r="CF22" t="n">
        <v>593552696</v>
      </c>
      <c r="CG22" t="inlineStr">
        <is>
          <t>6ade2181-4aff-4d4c-ac1c-6f649fea05d3</t>
        </is>
      </c>
      <c r="CH22" s="1" t="n">
        <v>45959.52078703704</v>
      </c>
      <c r="CK22" t="inlineStr">
        <is>
          <t>submitted_via_web</t>
        </is>
      </c>
      <c r="CM22" t="inlineStr">
        <is>
          <t>vteYUDpqfKnk39PHFZkvPS</t>
        </is>
      </c>
      <c r="CO22" t="inlineStr">
        <is>
          <t>uuid:6ade2181-4aff-4d4c-ac1c-6f649fea05d3</t>
        </is>
      </c>
      <c r="CP22" t="n">
        <v>21</v>
      </c>
      <c r="CQ22" t="n">
        <v>3</v>
      </c>
      <c r="CR22" t="n">
        <v>-0.3165225292847399</v>
      </c>
    </row>
    <row r="23">
      <c r="A23" s="1" t="n">
        <v>45959.7312911574</v>
      </c>
      <c r="B23" s="1" t="n">
        <v>45959.75222298611</v>
      </c>
      <c r="D23" t="inlineStr">
        <is>
          <t>29</t>
        </is>
      </c>
      <c r="E23" t="inlineStr">
        <is>
          <t>Female</t>
        </is>
      </c>
      <c r="F23" t="inlineStr">
        <is>
          <t>Sinhalese</t>
        </is>
      </c>
      <c r="H23" t="inlineStr">
        <is>
          <t>Buddhist</t>
        </is>
      </c>
      <c r="J23" t="inlineStr">
        <is>
          <t>Not employed</t>
        </is>
      </c>
      <c r="L23" t="inlineStr">
        <is>
          <t xml:space="preserve">Up to A/L </t>
        </is>
      </c>
      <c r="M23" t="inlineStr">
        <is>
          <t>Eastern</t>
        </is>
      </c>
      <c r="N23" t="inlineStr">
        <is>
          <t>Single</t>
        </is>
      </c>
      <c r="P23" t="inlineStr">
        <is>
          <t xml:space="preserve"> I don’t know</t>
        </is>
      </c>
      <c r="S23" t="inlineStr">
        <is>
          <t>At workplace</t>
        </is>
      </c>
      <c r="U23" t="inlineStr">
        <is>
          <t>Yes</t>
        </is>
      </c>
      <c r="V23" t="inlineStr">
        <is>
          <t xml:space="preserve">Thalassemia major (severe form)   Thalassemia minor or trait (carrier form) Thalassemia intermedia (moderate form) </t>
        </is>
      </c>
      <c r="W23" t="n">
        <v>1</v>
      </c>
      <c r="X23" t="n">
        <v>1</v>
      </c>
      <c r="Y23" t="n">
        <v>1</v>
      </c>
      <c r="Z23" t="n">
        <v>0</v>
      </c>
      <c r="AA23" t="inlineStr">
        <is>
          <t xml:space="preserve">Thalassemia major (severe form)  </t>
        </is>
      </c>
      <c r="AB23" t="n">
        <v>1</v>
      </c>
      <c r="AC23" t="n">
        <v>0</v>
      </c>
      <c r="AD23" t="n">
        <v>0</v>
      </c>
      <c r="AE23" t="n">
        <v>0</v>
      </c>
      <c r="AF23" t="inlineStr">
        <is>
          <t xml:space="preserve">Thalassemia intermedia (moderate form) </t>
        </is>
      </c>
      <c r="AG23" t="n">
        <v>0</v>
      </c>
      <c r="AH23" t="n">
        <v>0</v>
      </c>
      <c r="AI23" t="n">
        <v>1</v>
      </c>
      <c r="AJ23" t="n">
        <v>0</v>
      </c>
      <c r="AK23" t="inlineStr">
        <is>
          <t>Don’t know</t>
        </is>
      </c>
      <c r="AL23" t="inlineStr">
        <is>
          <t>Don’t know</t>
        </is>
      </c>
      <c r="AM23" t="inlineStr">
        <is>
          <t xml:space="preserve">Can be prevented </t>
        </is>
      </c>
      <c r="AN23" t="inlineStr">
        <is>
          <t xml:space="preserve">From generation to generation (hereditary)  </t>
        </is>
      </c>
      <c r="AO23" t="inlineStr">
        <is>
          <t xml:space="preserve">Not healthy  </t>
        </is>
      </c>
      <c r="AP23" t="inlineStr">
        <is>
          <t xml:space="preserve">Has a chance to be affected (e.g., 25%) </t>
        </is>
      </c>
      <c r="AQ23" t="inlineStr">
        <is>
          <t xml:space="preserve">Yes </t>
        </is>
      </c>
      <c r="AR23" t="inlineStr">
        <is>
          <t>Don’t know</t>
        </is>
      </c>
      <c r="AS23" t="inlineStr">
        <is>
          <t>Regular blood transfusions for life  Frequent nosebleeds Fatigue</t>
        </is>
      </c>
      <c r="AT23" t="n">
        <v>1</v>
      </c>
      <c r="AU23" t="n">
        <v>0</v>
      </c>
      <c r="AV23" t="n">
        <v>0</v>
      </c>
      <c r="AW23" t="n">
        <v>0</v>
      </c>
      <c r="AX23" t="n">
        <v>0</v>
      </c>
      <c r="AY23" t="n">
        <v>1</v>
      </c>
      <c r="AZ23" t="n">
        <v>1</v>
      </c>
      <c r="BA23" t="n">
        <v>0</v>
      </c>
      <c r="BB23" t="inlineStr">
        <is>
          <t xml:space="preserve">Get family members tested </t>
        </is>
      </c>
      <c r="BC23" t="n">
        <v>0</v>
      </c>
      <c r="BD23" t="n">
        <v>1</v>
      </c>
      <c r="BE23" t="n">
        <v>0</v>
      </c>
      <c r="BF23" t="n">
        <v>0</v>
      </c>
      <c r="BG23" t="inlineStr">
        <is>
          <t>Only found out after screening</t>
        </is>
      </c>
      <c r="BH23" t="inlineStr">
        <is>
          <t>Definitely not</t>
        </is>
      </c>
      <c r="BI23" t="inlineStr">
        <is>
          <t xml:space="preserve">No </t>
        </is>
      </c>
      <c r="BJ23" t="inlineStr">
        <is>
          <t xml:space="preserve">Very important </t>
        </is>
      </c>
      <c r="BP23" t="inlineStr">
        <is>
          <t xml:space="preserve">Agree </t>
        </is>
      </c>
      <c r="BQ23" t="inlineStr">
        <is>
          <t xml:space="preserve">Yes </t>
        </is>
      </c>
      <c r="BS23" t="inlineStr">
        <is>
          <t>None</t>
        </is>
      </c>
      <c r="BT23" t="inlineStr">
        <is>
          <t>None</t>
        </is>
      </c>
      <c r="BU23" t="inlineStr">
        <is>
          <t>Don't know</t>
        </is>
      </c>
      <c r="BV23" t="inlineStr">
        <is>
          <t xml:space="preserve">Lack of knowledge </t>
        </is>
      </c>
      <c r="BW23" t="n">
        <v>1</v>
      </c>
      <c r="BX23" t="n">
        <v>0</v>
      </c>
      <c r="BY23" t="n">
        <v>0</v>
      </c>
      <c r="BZ23" t="n">
        <v>0</v>
      </c>
      <c r="CA23" t="n">
        <v>0</v>
      </c>
      <c r="CB23" t="n">
        <v>0</v>
      </c>
      <c r="CD23" t="inlineStr">
        <is>
          <t>Not sure</t>
        </is>
      </c>
      <c r="CE23" t="inlineStr">
        <is>
          <t xml:space="preserve"> Very important</t>
        </is>
      </c>
      <c r="CF23" t="n">
        <v>593555528</v>
      </c>
      <c r="CG23" t="inlineStr">
        <is>
          <t>ff730e62-3191-4f4f-8e17-4b669251c7a5</t>
        </is>
      </c>
      <c r="CH23" s="1" t="n">
        <v>45959.52304398148</v>
      </c>
      <c r="CK23" t="inlineStr">
        <is>
          <t>submitted_via_web</t>
        </is>
      </c>
      <c r="CM23" t="inlineStr">
        <is>
          <t>vteYUDpqfKnk39PHFZkvPS</t>
        </is>
      </c>
      <c r="CO23" t="inlineStr">
        <is>
          <t>uuid:ff730e62-3191-4f4f-8e17-4b669251c7a5</t>
        </is>
      </c>
      <c r="CP23" t="n">
        <v>22</v>
      </c>
      <c r="CQ23" t="n">
        <v>6</v>
      </c>
      <c r="CR23" t="n">
        <v>0.8544166434680093</v>
      </c>
    </row>
    <row r="24">
      <c r="A24" s="1" t="n">
        <v>45959.7472709838</v>
      </c>
      <c r="B24" s="1" t="n">
        <v>45959.75984327546</v>
      </c>
      <c r="D24" t="inlineStr">
        <is>
          <t>27</t>
        </is>
      </c>
      <c r="E24" t="inlineStr">
        <is>
          <t>Female</t>
        </is>
      </c>
      <c r="F24" t="inlineStr">
        <is>
          <t>Sinhalese</t>
        </is>
      </c>
      <c r="H24" t="inlineStr">
        <is>
          <t>Buddhist</t>
        </is>
      </c>
      <c r="J24" t="inlineStr">
        <is>
          <t>Government sector</t>
        </is>
      </c>
      <c r="K24" t="inlineStr">
        <is>
          <t>25,000 – 50,000</t>
        </is>
      </c>
      <c r="L24" t="inlineStr">
        <is>
          <t xml:space="preserve">Graduate </t>
        </is>
      </c>
      <c r="M24" t="inlineStr">
        <is>
          <t>Western</t>
        </is>
      </c>
      <c r="N24" t="inlineStr">
        <is>
          <t>Single</t>
        </is>
      </c>
      <c r="P24" t="inlineStr">
        <is>
          <t xml:space="preserve"> Yes </t>
        </is>
      </c>
      <c r="Q24" t="inlineStr">
        <is>
          <t>Lukemia</t>
        </is>
      </c>
      <c r="S24" t="inlineStr">
        <is>
          <t>Individual or family screening after a relative was diagnosed</t>
        </is>
      </c>
      <c r="U24" t="inlineStr">
        <is>
          <t>Yes</t>
        </is>
      </c>
      <c r="V24" t="inlineStr">
        <is>
          <t>Thalassemia major (severe form)   Thalassemia minor or trait (carrier form)</t>
        </is>
      </c>
      <c r="W24" t="n">
        <v>1</v>
      </c>
      <c r="X24" t="n">
        <v>1</v>
      </c>
      <c r="Y24" t="n">
        <v>0</v>
      </c>
      <c r="Z24" t="n">
        <v>0</v>
      </c>
      <c r="AA24" t="inlineStr">
        <is>
          <t xml:space="preserve">Thalassemia major (severe form)  </t>
        </is>
      </c>
      <c r="AB24" t="n">
        <v>1</v>
      </c>
      <c r="AC24" t="n">
        <v>0</v>
      </c>
      <c r="AD24" t="n">
        <v>0</v>
      </c>
      <c r="AE24" t="n">
        <v>0</v>
      </c>
      <c r="AF24" t="inlineStr">
        <is>
          <t>Thalassemia minor or trait (carrier form)</t>
        </is>
      </c>
      <c r="AG24" t="n">
        <v>0</v>
      </c>
      <c r="AH24" t="n">
        <v>1</v>
      </c>
      <c r="AI24" t="n">
        <v>0</v>
      </c>
      <c r="AJ24" t="n">
        <v>0</v>
      </c>
      <c r="AK24" t="inlineStr">
        <is>
          <t>Yes</t>
        </is>
      </c>
      <c r="AL24" t="inlineStr">
        <is>
          <t xml:space="preserve">Cannot be cured   </t>
        </is>
      </c>
      <c r="AM24" t="inlineStr">
        <is>
          <t xml:space="preserve">Can be prevented </t>
        </is>
      </c>
      <c r="AN24" t="inlineStr">
        <is>
          <t xml:space="preserve">From generation to generation (hereditary)  </t>
        </is>
      </c>
      <c r="AO24" t="inlineStr">
        <is>
          <t>Healthy</t>
        </is>
      </c>
      <c r="AP24" t="inlineStr">
        <is>
          <t xml:space="preserve">Has a chance to be affected (e.g., 25%) </t>
        </is>
      </c>
      <c r="AQ24" t="inlineStr">
        <is>
          <t xml:space="preserve">Yes </t>
        </is>
      </c>
      <c r="AR24" t="inlineStr">
        <is>
          <t>Don’t know</t>
        </is>
      </c>
      <c r="AS24" t="inlineStr">
        <is>
          <t xml:space="preserve">Regular blood transfusions for life </t>
        </is>
      </c>
      <c r="AT24" t="n">
        <v>1</v>
      </c>
      <c r="AU24" t="n">
        <v>0</v>
      </c>
      <c r="AV24" t="n">
        <v>0</v>
      </c>
      <c r="AW24" t="n">
        <v>0</v>
      </c>
      <c r="AX24" t="n">
        <v>0</v>
      </c>
      <c r="AY24" t="n">
        <v>0</v>
      </c>
      <c r="AZ24" t="n">
        <v>0</v>
      </c>
      <c r="BA24" t="n">
        <v>0</v>
      </c>
      <c r="BB24" t="inlineStr">
        <is>
          <t xml:space="preserve"> Get the partner tested before marriage  </t>
        </is>
      </c>
      <c r="BC24" t="n">
        <v>1</v>
      </c>
      <c r="BD24" t="n">
        <v>0</v>
      </c>
      <c r="BE24" t="n">
        <v>0</v>
      </c>
      <c r="BF24" t="n">
        <v>0</v>
      </c>
      <c r="BG24" t="inlineStr">
        <is>
          <t xml:space="preserve">Healthcare staff (doctors and nurses) </t>
        </is>
      </c>
      <c r="BH24" t="inlineStr">
        <is>
          <t>Definitely not</t>
        </is>
      </c>
      <c r="BI24" t="inlineStr">
        <is>
          <t xml:space="preserve">No </t>
        </is>
      </c>
      <c r="BJ24" t="inlineStr">
        <is>
          <t xml:space="preserve">Very important </t>
        </is>
      </c>
      <c r="BK24" t="inlineStr">
        <is>
          <t>Partner was screened before marriage</t>
        </is>
      </c>
      <c r="BP24" t="inlineStr">
        <is>
          <t xml:space="preserve">Agree </t>
        </is>
      </c>
      <c r="BQ24" t="inlineStr">
        <is>
          <t xml:space="preserve">Yes </t>
        </is>
      </c>
      <c r="BS24" t="inlineStr">
        <is>
          <t>All</t>
        </is>
      </c>
      <c r="BT24" t="inlineStr">
        <is>
          <t>All</t>
        </is>
      </c>
      <c r="BU24" t="inlineStr">
        <is>
          <t>All</t>
        </is>
      </c>
      <c r="CD24" t="inlineStr">
        <is>
          <t xml:space="preserve">Somewhat easy </t>
        </is>
      </c>
      <c r="CE24" t="inlineStr">
        <is>
          <t xml:space="preserve"> Very important</t>
        </is>
      </c>
      <c r="CF24" t="n">
        <v>593566073</v>
      </c>
      <c r="CG24" t="inlineStr">
        <is>
          <t>794648fb-7a77-4454-9d6c-96f6e5d49b06</t>
        </is>
      </c>
      <c r="CH24" s="1" t="n">
        <v>45959.53070601852</v>
      </c>
      <c r="CK24" t="inlineStr">
        <is>
          <t>submitted_via_web</t>
        </is>
      </c>
      <c r="CM24" t="inlineStr">
        <is>
          <t>vteYUDpqfKnk39PHFZkvPS</t>
        </is>
      </c>
      <c r="CO24" t="inlineStr">
        <is>
          <t>uuid:794648fb-7a77-4454-9d6c-96f6e5d49b06</t>
        </is>
      </c>
      <c r="CP24" t="n">
        <v>23</v>
      </c>
      <c r="CQ24" t="n">
        <v>3</v>
      </c>
      <c r="CR24" t="n">
        <v>-0.3165225292847399</v>
      </c>
    </row>
    <row r="25">
      <c r="A25" s="1" t="n">
        <v>45959.75222321759</v>
      </c>
      <c r="B25" s="1" t="n">
        <v>45959.77644443287</v>
      </c>
      <c r="D25" t="inlineStr">
        <is>
          <t>21</t>
        </is>
      </c>
      <c r="E25" t="inlineStr">
        <is>
          <t>Female</t>
        </is>
      </c>
      <c r="F25" t="inlineStr">
        <is>
          <t>Sinhalese</t>
        </is>
      </c>
      <c r="H25" t="inlineStr">
        <is>
          <t>Buddhist</t>
        </is>
      </c>
      <c r="J25" t="inlineStr">
        <is>
          <t>Private sector</t>
        </is>
      </c>
      <c r="K25" t="inlineStr">
        <is>
          <t>25,000 – 50,000</t>
        </is>
      </c>
      <c r="L25" t="inlineStr">
        <is>
          <t xml:space="preserve">Up to A/L </t>
        </is>
      </c>
      <c r="M25" t="inlineStr">
        <is>
          <t>Western</t>
        </is>
      </c>
      <c r="N25" t="inlineStr">
        <is>
          <t>Single</t>
        </is>
      </c>
      <c r="P25" t="inlineStr">
        <is>
          <t xml:space="preserve"> Yes </t>
        </is>
      </c>
      <c r="Q25" t="inlineStr">
        <is>
          <t>Thalassemia</t>
        </is>
      </c>
      <c r="R25" s="1" t="n">
        <v>43536</v>
      </c>
      <c r="S25" t="inlineStr">
        <is>
          <t xml:space="preserve">During school/university  </t>
        </is>
      </c>
      <c r="U25" t="inlineStr">
        <is>
          <t>Yes</t>
        </is>
      </c>
      <c r="V25" t="inlineStr">
        <is>
          <t>I don’t know</t>
        </is>
      </c>
      <c r="W25" t="n">
        <v>0</v>
      </c>
      <c r="X25" t="n">
        <v>0</v>
      </c>
      <c r="Y25" t="n">
        <v>0</v>
      </c>
      <c r="Z25" t="n">
        <v>1</v>
      </c>
      <c r="AA25" t="inlineStr">
        <is>
          <t>I don’t know</t>
        </is>
      </c>
      <c r="AB25" t="n">
        <v>0</v>
      </c>
      <c r="AC25" t="n">
        <v>0</v>
      </c>
      <c r="AD25" t="n">
        <v>0</v>
      </c>
      <c r="AE25" t="n">
        <v>1</v>
      </c>
      <c r="AF25" t="inlineStr">
        <is>
          <t>Thalassemia minor or trait (carrier form)</t>
        </is>
      </c>
      <c r="AG25" t="n">
        <v>0</v>
      </c>
      <c r="AH25" t="n">
        <v>1</v>
      </c>
      <c r="AI25" t="n">
        <v>0</v>
      </c>
      <c r="AJ25" t="n">
        <v>0</v>
      </c>
      <c r="AK25" t="inlineStr">
        <is>
          <t>Don’t know</t>
        </is>
      </c>
      <c r="AL25" t="inlineStr">
        <is>
          <t>Don’t know</t>
        </is>
      </c>
      <c r="AM25" t="inlineStr">
        <is>
          <t>Not sure</t>
        </is>
      </c>
      <c r="AN25" t="inlineStr">
        <is>
          <t xml:space="preserve">From generation to generation (hereditary)  </t>
        </is>
      </c>
      <c r="AO25" t="inlineStr">
        <is>
          <t>Don’t know</t>
        </is>
      </c>
      <c r="AP25" t="inlineStr">
        <is>
          <t xml:space="preserve">Has a chance to be affected (e.g., 25%) </t>
        </is>
      </c>
      <c r="AQ25" t="inlineStr">
        <is>
          <t>No</t>
        </is>
      </c>
      <c r="AR25" t="inlineStr">
        <is>
          <t>Don’t know</t>
        </is>
      </c>
      <c r="AS25" t="inlineStr">
        <is>
          <t xml:space="preserve">Regular blood transfusions for life </t>
        </is>
      </c>
      <c r="AT25" t="n">
        <v>1</v>
      </c>
      <c r="AU25" t="n">
        <v>0</v>
      </c>
      <c r="AV25" t="n">
        <v>0</v>
      </c>
      <c r="AW25" t="n">
        <v>0</v>
      </c>
      <c r="AX25" t="n">
        <v>0</v>
      </c>
      <c r="AY25" t="n">
        <v>0</v>
      </c>
      <c r="AZ25" t="n">
        <v>0</v>
      </c>
      <c r="BA25" t="n">
        <v>0</v>
      </c>
      <c r="BB25" t="inlineStr">
        <is>
          <t xml:space="preserve">Get family members tested </t>
        </is>
      </c>
      <c r="BC25" t="n">
        <v>0</v>
      </c>
      <c r="BD25" t="n">
        <v>1</v>
      </c>
      <c r="BE25" t="n">
        <v>0</v>
      </c>
      <c r="BF25" t="n">
        <v>0</v>
      </c>
      <c r="BG25" t="inlineStr">
        <is>
          <t>Only found out after screening</t>
        </is>
      </c>
      <c r="BH25" t="inlineStr">
        <is>
          <t xml:space="preserve">Not sure </t>
        </is>
      </c>
      <c r="BI25" t="inlineStr">
        <is>
          <t xml:space="preserve">No </t>
        </is>
      </c>
      <c r="BJ25" t="inlineStr">
        <is>
          <t xml:space="preserve">Very important </t>
        </is>
      </c>
      <c r="BP25" t="inlineStr">
        <is>
          <t xml:space="preserve">Agree </t>
        </is>
      </c>
      <c r="BQ25" t="inlineStr">
        <is>
          <t xml:space="preserve">Yes </t>
        </is>
      </c>
      <c r="BS25" t="inlineStr">
        <is>
          <t>All</t>
        </is>
      </c>
      <c r="BT25" t="inlineStr">
        <is>
          <t>None</t>
        </is>
      </c>
      <c r="BU25" t="inlineStr">
        <is>
          <t>Don't know</t>
        </is>
      </c>
      <c r="CD25" t="inlineStr">
        <is>
          <t xml:space="preserve">Very easy </t>
        </is>
      </c>
      <c r="CE25" t="inlineStr">
        <is>
          <t xml:space="preserve"> Very important</t>
        </is>
      </c>
      <c r="CF25" t="n">
        <v>593587474</v>
      </c>
      <c r="CG25" t="inlineStr">
        <is>
          <t>2046aab9-41fb-4edb-88d9-6791603a2949</t>
        </is>
      </c>
      <c r="CH25" s="1" t="n">
        <v>45959.54726851852</v>
      </c>
      <c r="CK25" t="inlineStr">
        <is>
          <t>submitted_via_web</t>
        </is>
      </c>
      <c r="CM25" t="inlineStr">
        <is>
          <t>vteYUDpqfKnk39PHFZkvPS</t>
        </is>
      </c>
      <c r="CO25" t="inlineStr">
        <is>
          <t>uuid:2046aab9-41fb-4edb-88d9-6791603a2949</t>
        </is>
      </c>
      <c r="CP25" t="n">
        <v>24</v>
      </c>
      <c r="CQ25" t="n">
        <v>1</v>
      </c>
      <c r="CR25" t="n">
        <v>-1.097148644453239</v>
      </c>
    </row>
    <row r="26">
      <c r="A26" s="1" t="n">
        <v>45959.79096332176</v>
      </c>
      <c r="B26" s="1" t="n">
        <v>45959.79278618056</v>
      </c>
      <c r="D26" t="inlineStr">
        <is>
          <t>24</t>
        </is>
      </c>
      <c r="E26" t="inlineStr">
        <is>
          <t xml:space="preserve">Male </t>
        </is>
      </c>
      <c r="F26" t="inlineStr">
        <is>
          <t>Sinhalese</t>
        </is>
      </c>
      <c r="H26" t="inlineStr">
        <is>
          <t>Roman Catholic</t>
        </is>
      </c>
      <c r="J26" t="inlineStr">
        <is>
          <t>Private sector</t>
        </is>
      </c>
      <c r="K26" t="inlineStr">
        <is>
          <t>51,000 – 100,000</t>
        </is>
      </c>
      <c r="L26" t="inlineStr">
        <is>
          <t xml:space="preserve">Up to A/L </t>
        </is>
      </c>
      <c r="M26" t="inlineStr">
        <is>
          <t>Western</t>
        </is>
      </c>
      <c r="N26" t="inlineStr">
        <is>
          <t>Single</t>
        </is>
      </c>
      <c r="P26" t="inlineStr">
        <is>
          <t>No</t>
        </is>
      </c>
      <c r="S26" t="inlineStr">
        <is>
          <t xml:space="preserve">During school/university  </t>
        </is>
      </c>
      <c r="U26" t="inlineStr">
        <is>
          <t>Yes</t>
        </is>
      </c>
      <c r="V26" t="inlineStr">
        <is>
          <t>Thalassemia minor or trait (carrier form)</t>
        </is>
      </c>
      <c r="W26" t="n">
        <v>0</v>
      </c>
      <c r="X26" t="n">
        <v>1</v>
      </c>
      <c r="Y26" t="n">
        <v>0</v>
      </c>
      <c r="Z26" t="n">
        <v>0</v>
      </c>
      <c r="AA26" t="inlineStr">
        <is>
          <t>Thalassemia minor or trait (carrier form)</t>
        </is>
      </c>
      <c r="AB26" t="n">
        <v>0</v>
      </c>
      <c r="AC26" t="n">
        <v>1</v>
      </c>
      <c r="AD26" t="n">
        <v>0</v>
      </c>
      <c r="AE26" t="n">
        <v>0</v>
      </c>
      <c r="AF26" t="inlineStr">
        <is>
          <t>I don’t know</t>
        </is>
      </c>
      <c r="AG26" t="n">
        <v>0</v>
      </c>
      <c r="AH26" t="n">
        <v>0</v>
      </c>
      <c r="AI26" t="n">
        <v>0</v>
      </c>
      <c r="AJ26" t="n">
        <v>1</v>
      </c>
      <c r="AK26" t="inlineStr">
        <is>
          <t>Don’t know</t>
        </is>
      </c>
      <c r="AL26" t="inlineStr">
        <is>
          <t>Don’t know</t>
        </is>
      </c>
      <c r="AM26" t="inlineStr">
        <is>
          <t>Not sure</t>
        </is>
      </c>
      <c r="AN26" t="inlineStr">
        <is>
          <t xml:space="preserve">From generation to generation (hereditary)  </t>
        </is>
      </c>
      <c r="AO26" t="inlineStr">
        <is>
          <t>Healthy</t>
        </is>
      </c>
      <c r="AP26" t="inlineStr">
        <is>
          <t xml:space="preserve">Has a chance to be affected (e.g., 25%) </t>
        </is>
      </c>
      <c r="AQ26" t="inlineStr">
        <is>
          <t xml:space="preserve">Yes </t>
        </is>
      </c>
      <c r="AR26" t="inlineStr">
        <is>
          <t>Don’t know</t>
        </is>
      </c>
      <c r="BB26" t="inlineStr">
        <is>
          <t xml:space="preserve"> Get the partner tested before marriage   Get family members tested </t>
        </is>
      </c>
      <c r="BC26" t="n">
        <v>1</v>
      </c>
      <c r="BD26" t="n">
        <v>1</v>
      </c>
      <c r="BE26" t="n">
        <v>0</v>
      </c>
      <c r="BF26" t="n">
        <v>0</v>
      </c>
      <c r="BG26" t="inlineStr">
        <is>
          <t xml:space="preserve">School  </t>
        </is>
      </c>
      <c r="BH26" t="inlineStr">
        <is>
          <t>Definitely not</t>
        </is>
      </c>
      <c r="BI26" t="inlineStr">
        <is>
          <t xml:space="preserve">No </t>
        </is>
      </c>
      <c r="BJ26" t="inlineStr">
        <is>
          <t xml:space="preserve">Very important </t>
        </is>
      </c>
      <c r="BK26" t="inlineStr">
        <is>
          <t>Other</t>
        </is>
      </c>
      <c r="BL26" t="inlineStr">
        <is>
          <t>Still not married. Will be screen before marriage</t>
        </is>
      </c>
      <c r="BM26" t="inlineStr">
        <is>
          <t>Other</t>
        </is>
      </c>
      <c r="BN26" t="inlineStr">
        <is>
          <t>Still not married. Will be screen before marriage</t>
        </is>
      </c>
      <c r="BP26" t="inlineStr">
        <is>
          <t xml:space="preserve">Agree </t>
        </is>
      </c>
      <c r="BQ26" t="inlineStr">
        <is>
          <t xml:space="preserve">Yes </t>
        </is>
      </c>
      <c r="BS26" t="inlineStr">
        <is>
          <t>Some</t>
        </is>
      </c>
      <c r="BT26" t="inlineStr">
        <is>
          <t>None</t>
        </is>
      </c>
      <c r="BU26" t="inlineStr">
        <is>
          <t>None</t>
        </is>
      </c>
      <c r="BV26" t="inlineStr">
        <is>
          <t>Concern about stigma or discrimination</t>
        </is>
      </c>
      <c r="BW26" t="n">
        <v>0</v>
      </c>
      <c r="BX26" t="n">
        <v>1</v>
      </c>
      <c r="BY26" t="n">
        <v>0</v>
      </c>
      <c r="BZ26" t="n">
        <v>0</v>
      </c>
      <c r="CA26" t="n">
        <v>0</v>
      </c>
      <c r="CB26" t="n">
        <v>0</v>
      </c>
      <c r="CD26" t="inlineStr">
        <is>
          <t xml:space="preserve">Somewhat easy </t>
        </is>
      </c>
      <c r="CE26" t="inlineStr">
        <is>
          <t xml:space="preserve"> Very important</t>
        </is>
      </c>
      <c r="CF26" t="n">
        <v>593608884</v>
      </c>
      <c r="CG26" t="inlineStr">
        <is>
          <t>757224ab-f694-456b-93ed-e521b876517f</t>
        </is>
      </c>
      <c r="CH26" s="1" t="n">
        <v>45959.56375</v>
      </c>
      <c r="CK26" t="inlineStr">
        <is>
          <t>submitted_via_web</t>
        </is>
      </c>
      <c r="CM26" t="inlineStr">
        <is>
          <t>vteYUDpqfKnk39PHFZkvPS</t>
        </is>
      </c>
      <c r="CO26" t="inlineStr">
        <is>
          <t>uuid:757224ab-f694-456b-93ed-e521b876517f</t>
        </is>
      </c>
      <c r="CP26" t="n">
        <v>25</v>
      </c>
      <c r="CQ26" t="n">
        <v>1</v>
      </c>
      <c r="CR26" t="n">
        <v>-1.097148644453239</v>
      </c>
    </row>
    <row r="27">
      <c r="A27" s="1" t="n">
        <v>45959.7764446412</v>
      </c>
      <c r="B27" s="1" t="n">
        <v>45959.79731600695</v>
      </c>
      <c r="D27" t="inlineStr">
        <is>
          <t>51</t>
        </is>
      </c>
      <c r="E27" t="inlineStr">
        <is>
          <t xml:space="preserve">Male </t>
        </is>
      </c>
      <c r="F27" t="inlineStr">
        <is>
          <t>Sinhalese</t>
        </is>
      </c>
      <c r="H27" t="inlineStr">
        <is>
          <t>Buddhist</t>
        </is>
      </c>
      <c r="J27" t="inlineStr">
        <is>
          <t>Private sector</t>
        </is>
      </c>
      <c r="K27" t="inlineStr">
        <is>
          <t>51,000 – 100,000</t>
        </is>
      </c>
      <c r="L27" t="inlineStr">
        <is>
          <t xml:space="preserve">Up to O/L </t>
        </is>
      </c>
      <c r="M27" t="inlineStr">
        <is>
          <t>Western</t>
        </is>
      </c>
      <c r="N27" t="inlineStr">
        <is>
          <t xml:space="preserve">Married </t>
        </is>
      </c>
      <c r="O27" t="inlineStr">
        <is>
          <t xml:space="preserve">Yes, more than one child </t>
        </is>
      </c>
      <c r="P27" t="inlineStr">
        <is>
          <t xml:space="preserve"> Yes </t>
        </is>
      </c>
      <c r="Q27" t="inlineStr">
        <is>
          <t>Thalassemia</t>
        </is>
      </c>
      <c r="R27" s="1" t="n">
        <v>43537</v>
      </c>
      <c r="S27" t="inlineStr">
        <is>
          <t>During community screening</t>
        </is>
      </c>
      <c r="U27" t="inlineStr">
        <is>
          <t>Yes</t>
        </is>
      </c>
      <c r="V27" t="inlineStr">
        <is>
          <t xml:space="preserve">Thalassemia major (severe form)   Thalassemia minor or trait (carrier form) Thalassemia intermedia (moderate form) </t>
        </is>
      </c>
      <c r="W27" t="n">
        <v>1</v>
      </c>
      <c r="X27" t="n">
        <v>1</v>
      </c>
      <c r="Y27" t="n">
        <v>1</v>
      </c>
      <c r="Z27" t="n">
        <v>0</v>
      </c>
      <c r="AA27" t="inlineStr">
        <is>
          <t>I don’t know</t>
        </is>
      </c>
      <c r="AB27" t="n">
        <v>0</v>
      </c>
      <c r="AC27" t="n">
        <v>0</v>
      </c>
      <c r="AD27" t="n">
        <v>0</v>
      </c>
      <c r="AE27" t="n">
        <v>1</v>
      </c>
      <c r="AF27" t="inlineStr">
        <is>
          <t>I don’t know</t>
        </is>
      </c>
      <c r="AG27" t="n">
        <v>0</v>
      </c>
      <c r="AH27" t="n">
        <v>0</v>
      </c>
      <c r="AI27" t="n">
        <v>0</v>
      </c>
      <c r="AJ27" t="n">
        <v>1</v>
      </c>
      <c r="AK27" t="inlineStr">
        <is>
          <t>Don’t know</t>
        </is>
      </c>
      <c r="AL27" t="inlineStr">
        <is>
          <t>Don’t know</t>
        </is>
      </c>
      <c r="AM27" t="inlineStr">
        <is>
          <t xml:space="preserve">Can be prevented </t>
        </is>
      </c>
      <c r="AN27" t="inlineStr">
        <is>
          <t xml:space="preserve">From generation to generation (hereditary)  </t>
        </is>
      </c>
      <c r="AO27" t="inlineStr">
        <is>
          <t>Healthy</t>
        </is>
      </c>
      <c r="AP27" t="inlineStr">
        <is>
          <t>Always affected by thalassemia</t>
        </is>
      </c>
      <c r="AQ27" t="inlineStr">
        <is>
          <t>No</t>
        </is>
      </c>
      <c r="AR27" t="inlineStr">
        <is>
          <t>Don’t know</t>
        </is>
      </c>
      <c r="AS27" t="inlineStr">
        <is>
          <t xml:space="preserve">Regular blood transfusions for life </t>
        </is>
      </c>
      <c r="AT27" t="n">
        <v>1</v>
      </c>
      <c r="AU27" t="n">
        <v>0</v>
      </c>
      <c r="AV27" t="n">
        <v>0</v>
      </c>
      <c r="AW27" t="n">
        <v>0</v>
      </c>
      <c r="AX27" t="n">
        <v>0</v>
      </c>
      <c r="AY27" t="n">
        <v>0</v>
      </c>
      <c r="AZ27" t="n">
        <v>0</v>
      </c>
      <c r="BA27" t="n">
        <v>0</v>
      </c>
      <c r="BB27" t="inlineStr">
        <is>
          <t xml:space="preserve"> Get the partner tested before marriage   Get family members tested </t>
        </is>
      </c>
      <c r="BC27" t="n">
        <v>1</v>
      </c>
      <c r="BD27" t="n">
        <v>1</v>
      </c>
      <c r="BE27" t="n">
        <v>0</v>
      </c>
      <c r="BF27" t="n">
        <v>0</v>
      </c>
      <c r="BG27" t="inlineStr">
        <is>
          <t xml:space="preserve">Family </t>
        </is>
      </c>
      <c r="BH27" t="inlineStr">
        <is>
          <t xml:space="preserve">Not sure </t>
        </is>
      </c>
      <c r="BI27" t="inlineStr">
        <is>
          <t xml:space="preserve">No </t>
        </is>
      </c>
      <c r="BJ27" t="inlineStr">
        <is>
          <t xml:space="preserve">Very important </t>
        </is>
      </c>
      <c r="BP27" t="inlineStr">
        <is>
          <t xml:space="preserve">Agree </t>
        </is>
      </c>
      <c r="BQ27" t="inlineStr">
        <is>
          <t xml:space="preserve">Yes </t>
        </is>
      </c>
      <c r="BS27" t="inlineStr">
        <is>
          <t>All</t>
        </is>
      </c>
      <c r="BT27" t="inlineStr">
        <is>
          <t>Don't know</t>
        </is>
      </c>
      <c r="BU27" t="inlineStr">
        <is>
          <t>Don't know</t>
        </is>
      </c>
      <c r="CD27" t="inlineStr">
        <is>
          <t xml:space="preserve">Very easy </t>
        </is>
      </c>
      <c r="CE27" t="inlineStr">
        <is>
          <t xml:space="preserve"> Very important</t>
        </is>
      </c>
      <c r="CF27" t="n">
        <v>593614682</v>
      </c>
      <c r="CG27" t="inlineStr">
        <is>
          <t>4e46840e-c53f-4a47-905c-7ec67cf76b05</t>
        </is>
      </c>
      <c r="CH27" s="1" t="n">
        <v>45959.5681712963</v>
      </c>
      <c r="CK27" t="inlineStr">
        <is>
          <t>submitted_via_web</t>
        </is>
      </c>
      <c r="CM27" t="inlineStr">
        <is>
          <t>vteYUDpqfKnk39PHFZkvPS</t>
        </is>
      </c>
      <c r="CO27" t="inlineStr">
        <is>
          <t>uuid:4e46840e-c53f-4a47-905c-7ec67cf76b05</t>
        </is>
      </c>
      <c r="CP27" t="n">
        <v>26</v>
      </c>
      <c r="CQ27" t="n">
        <v>4</v>
      </c>
      <c r="CR27" t="n">
        <v>0.07379052829950983</v>
      </c>
    </row>
    <row r="28">
      <c r="A28" s="1" t="n">
        <v>45959.79278716436</v>
      </c>
      <c r="B28" s="1" t="n">
        <v>45959.80211313657</v>
      </c>
      <c r="D28" t="inlineStr">
        <is>
          <t>34</t>
        </is>
      </c>
      <c r="E28" t="inlineStr">
        <is>
          <t xml:space="preserve">Male </t>
        </is>
      </c>
      <c r="F28" t="inlineStr">
        <is>
          <t>Sinhalese</t>
        </is>
      </c>
      <c r="H28" t="inlineStr">
        <is>
          <t>Buddhist</t>
        </is>
      </c>
      <c r="J28" t="inlineStr">
        <is>
          <t>Private sector</t>
        </is>
      </c>
      <c r="K28" t="inlineStr">
        <is>
          <t>51,000 – 100,000</t>
        </is>
      </c>
      <c r="L28" t="inlineStr">
        <is>
          <t xml:space="preserve">Up to A/L </t>
        </is>
      </c>
      <c r="M28" t="inlineStr">
        <is>
          <t xml:space="preserve">North Central </t>
        </is>
      </c>
      <c r="N28" t="inlineStr">
        <is>
          <t xml:space="preserve">Married </t>
        </is>
      </c>
      <c r="O28" t="inlineStr">
        <is>
          <t xml:space="preserve">Yes, only one child </t>
        </is>
      </c>
      <c r="P28" t="inlineStr">
        <is>
          <t>No</t>
        </is>
      </c>
      <c r="S28" t="inlineStr">
        <is>
          <t>At workplace</t>
        </is>
      </c>
      <c r="U28" t="inlineStr">
        <is>
          <t>Yes</t>
        </is>
      </c>
      <c r="V28" t="inlineStr">
        <is>
          <t>Thalassemia major (severe form)   Thalassemia minor or trait (carrier form)</t>
        </is>
      </c>
      <c r="W28" t="n">
        <v>1</v>
      </c>
      <c r="X28" t="n">
        <v>1</v>
      </c>
      <c r="Y28" t="n">
        <v>0</v>
      </c>
      <c r="Z28" t="n">
        <v>0</v>
      </c>
      <c r="AA28" t="inlineStr">
        <is>
          <t>I don’t know</t>
        </is>
      </c>
      <c r="AB28" t="n">
        <v>0</v>
      </c>
      <c r="AC28" t="n">
        <v>0</v>
      </c>
      <c r="AD28" t="n">
        <v>0</v>
      </c>
      <c r="AE28" t="n">
        <v>1</v>
      </c>
      <c r="AF28" t="inlineStr">
        <is>
          <t>Thalassemia minor or trait (carrier form)</t>
        </is>
      </c>
      <c r="AG28" t="n">
        <v>0</v>
      </c>
      <c r="AH28" t="n">
        <v>1</v>
      </c>
      <c r="AI28" t="n">
        <v>0</v>
      </c>
      <c r="AJ28" t="n">
        <v>0</v>
      </c>
      <c r="AK28" t="inlineStr">
        <is>
          <t>Don’t know</t>
        </is>
      </c>
      <c r="AL28" t="inlineStr">
        <is>
          <t>Don’t know</t>
        </is>
      </c>
      <c r="AM28" t="inlineStr">
        <is>
          <t xml:space="preserve">Can be prevented </t>
        </is>
      </c>
      <c r="AN28" t="inlineStr">
        <is>
          <t xml:space="preserve">From generation to generation (hereditary)  </t>
        </is>
      </c>
      <c r="AO28" t="inlineStr">
        <is>
          <t>Healthy</t>
        </is>
      </c>
      <c r="AP28" t="inlineStr">
        <is>
          <t xml:space="preserve">Has a chance to be affected (e.g., 25%) </t>
        </is>
      </c>
      <c r="AQ28" t="inlineStr">
        <is>
          <t xml:space="preserve">Yes </t>
        </is>
      </c>
      <c r="AR28" t="inlineStr">
        <is>
          <t>Don’t know</t>
        </is>
      </c>
      <c r="AS28" t="inlineStr">
        <is>
          <t xml:space="preserve">Regular blood transfusions for life </t>
        </is>
      </c>
      <c r="AT28" t="n">
        <v>1</v>
      </c>
      <c r="AU28" t="n">
        <v>0</v>
      </c>
      <c r="AV28" t="n">
        <v>0</v>
      </c>
      <c r="AW28" t="n">
        <v>0</v>
      </c>
      <c r="AX28" t="n">
        <v>0</v>
      </c>
      <c r="AY28" t="n">
        <v>0</v>
      </c>
      <c r="AZ28" t="n">
        <v>0</v>
      </c>
      <c r="BA28" t="n">
        <v>0</v>
      </c>
      <c r="BB28" t="inlineStr">
        <is>
          <t xml:space="preserve"> Get the partner tested before marriage   Get family members tested </t>
        </is>
      </c>
      <c r="BC28" t="n">
        <v>1</v>
      </c>
      <c r="BD28" t="n">
        <v>1</v>
      </c>
      <c r="BE28" t="n">
        <v>0</v>
      </c>
      <c r="BF28" t="n">
        <v>0</v>
      </c>
      <c r="BG28" t="inlineStr">
        <is>
          <t xml:space="preserve">School  </t>
        </is>
      </c>
      <c r="BH28" t="inlineStr">
        <is>
          <t>Definitely not</t>
        </is>
      </c>
      <c r="BI28" t="inlineStr">
        <is>
          <t xml:space="preserve">No </t>
        </is>
      </c>
      <c r="BJ28" t="inlineStr">
        <is>
          <t xml:space="preserve">Very important </t>
        </is>
      </c>
      <c r="BK28" t="inlineStr">
        <is>
          <t xml:space="preserve"> Partner was screened after marriage </t>
        </is>
      </c>
      <c r="BP28" t="inlineStr">
        <is>
          <t xml:space="preserve">Agree </t>
        </is>
      </c>
      <c r="BQ28" t="inlineStr">
        <is>
          <t xml:space="preserve">Yes </t>
        </is>
      </c>
      <c r="BS28" t="inlineStr">
        <is>
          <t>Some</t>
        </is>
      </c>
      <c r="BT28" t="inlineStr">
        <is>
          <t>None</t>
        </is>
      </c>
      <c r="BU28" t="inlineStr">
        <is>
          <t>None</t>
        </is>
      </c>
      <c r="BV28" t="inlineStr">
        <is>
          <t>Concern about stigma or discrimination</t>
        </is>
      </c>
      <c r="BW28" t="n">
        <v>0</v>
      </c>
      <c r="BX28" t="n">
        <v>1</v>
      </c>
      <c r="BY28" t="n">
        <v>0</v>
      </c>
      <c r="BZ28" t="n">
        <v>0</v>
      </c>
      <c r="CA28" t="n">
        <v>0</v>
      </c>
      <c r="CB28" t="n">
        <v>0</v>
      </c>
      <c r="CD28" t="inlineStr">
        <is>
          <t xml:space="preserve">Somewhat easy </t>
        </is>
      </c>
      <c r="CE28" t="inlineStr">
        <is>
          <t xml:space="preserve"> Very important</t>
        </is>
      </c>
      <c r="CF28" t="n">
        <v>593621505</v>
      </c>
      <c r="CG28" t="inlineStr">
        <is>
          <t>f1f23ebd-bace-49b4-a835-1dd30852e924</t>
        </is>
      </c>
      <c r="CH28" s="1" t="n">
        <v>45959.57297453703</v>
      </c>
      <c r="CK28" t="inlineStr">
        <is>
          <t>submitted_via_web</t>
        </is>
      </c>
      <c r="CM28" t="inlineStr">
        <is>
          <t>vteYUDpqfKnk39PHFZkvPS</t>
        </is>
      </c>
      <c r="CO28" t="inlineStr">
        <is>
          <t>uuid:f1f23ebd-bace-49b4-a835-1dd30852e924</t>
        </is>
      </c>
      <c r="CP28" t="n">
        <v>27</v>
      </c>
      <c r="CQ28" t="n">
        <v>3</v>
      </c>
      <c r="CR28" t="n">
        <v>-0.3165225292847399</v>
      </c>
    </row>
    <row r="29">
      <c r="A29" s="1" t="n">
        <v>45959.8148706713</v>
      </c>
      <c r="B29" s="1" t="n">
        <v>45959.82997496528</v>
      </c>
      <c r="D29" t="inlineStr">
        <is>
          <t>23</t>
        </is>
      </c>
      <c r="E29" t="inlineStr">
        <is>
          <t>Female</t>
        </is>
      </c>
      <c r="F29" t="inlineStr">
        <is>
          <t>Sinhalese</t>
        </is>
      </c>
      <c r="H29" t="inlineStr">
        <is>
          <t>Buddhist</t>
        </is>
      </c>
      <c r="J29" t="inlineStr">
        <is>
          <t>Not employed</t>
        </is>
      </c>
      <c r="L29" t="inlineStr">
        <is>
          <t xml:space="preserve">Undergraduate </t>
        </is>
      </c>
      <c r="M29" t="inlineStr">
        <is>
          <t xml:space="preserve">North Western </t>
        </is>
      </c>
      <c r="N29" t="inlineStr">
        <is>
          <t xml:space="preserve">Married </t>
        </is>
      </c>
      <c r="O29" t="inlineStr">
        <is>
          <t>No children</t>
        </is>
      </c>
      <c r="P29" t="inlineStr">
        <is>
          <t>No</t>
        </is>
      </c>
      <c r="S29" t="inlineStr">
        <is>
          <t xml:space="preserve">During school/university  </t>
        </is>
      </c>
      <c r="U29" t="inlineStr">
        <is>
          <t>Yes</t>
        </is>
      </c>
      <c r="V29" t="inlineStr">
        <is>
          <t>I don’t know</t>
        </is>
      </c>
      <c r="W29" t="n">
        <v>0</v>
      </c>
      <c r="X29" t="n">
        <v>0</v>
      </c>
      <c r="Y29" t="n">
        <v>0</v>
      </c>
      <c r="Z29" t="n">
        <v>1</v>
      </c>
      <c r="AA29" t="inlineStr">
        <is>
          <t>I don’t know</t>
        </is>
      </c>
      <c r="AB29" t="n">
        <v>0</v>
      </c>
      <c r="AC29" t="n">
        <v>0</v>
      </c>
      <c r="AD29" t="n">
        <v>0</v>
      </c>
      <c r="AE29" t="n">
        <v>1</v>
      </c>
      <c r="AF29" t="inlineStr">
        <is>
          <t>Thalassemia minor or trait (carrier form)</t>
        </is>
      </c>
      <c r="AG29" t="n">
        <v>0</v>
      </c>
      <c r="AH29" t="n">
        <v>1</v>
      </c>
      <c r="AI29" t="n">
        <v>0</v>
      </c>
      <c r="AJ29" t="n">
        <v>0</v>
      </c>
      <c r="AK29" t="inlineStr">
        <is>
          <t>Yes</t>
        </is>
      </c>
      <c r="AL29" t="inlineStr">
        <is>
          <t xml:space="preserve">Cannot be cured   </t>
        </is>
      </c>
      <c r="AM29" t="inlineStr">
        <is>
          <t xml:space="preserve">Can be prevented </t>
        </is>
      </c>
      <c r="AN29" t="inlineStr">
        <is>
          <t xml:space="preserve">From generation to generation (hereditary)  </t>
        </is>
      </c>
      <c r="AO29" t="inlineStr">
        <is>
          <t>Don’t know</t>
        </is>
      </c>
      <c r="AP29" t="inlineStr">
        <is>
          <t xml:space="preserve">Has a chance to be affected (e.g., 25%) </t>
        </is>
      </c>
      <c r="AQ29" t="inlineStr">
        <is>
          <t xml:space="preserve">Yes </t>
        </is>
      </c>
      <c r="AR29" t="inlineStr">
        <is>
          <t>Don’t know</t>
        </is>
      </c>
      <c r="AS29" t="inlineStr">
        <is>
          <t xml:space="preserve">Regular blood transfusions for life  Iron overload affecting heart and liver </t>
        </is>
      </c>
      <c r="AT29" t="n">
        <v>1</v>
      </c>
      <c r="AU29" t="n">
        <v>1</v>
      </c>
      <c r="AV29" t="n">
        <v>0</v>
      </c>
      <c r="AW29" t="n">
        <v>0</v>
      </c>
      <c r="AX29" t="n">
        <v>0</v>
      </c>
      <c r="AY29" t="n">
        <v>0</v>
      </c>
      <c r="AZ29" t="n">
        <v>0</v>
      </c>
      <c r="BA29" t="n">
        <v>0</v>
      </c>
      <c r="BB29" t="inlineStr">
        <is>
          <t xml:space="preserve"> Get the partner tested before marriage  </t>
        </is>
      </c>
      <c r="BC29" t="n">
        <v>1</v>
      </c>
      <c r="BD29" t="n">
        <v>0</v>
      </c>
      <c r="BE29" t="n">
        <v>0</v>
      </c>
      <c r="BF29" t="n">
        <v>0</v>
      </c>
      <c r="BG29" t="inlineStr">
        <is>
          <t xml:space="preserve">Healthcare staff (doctors and nurses) </t>
        </is>
      </c>
      <c r="BH29" t="inlineStr">
        <is>
          <t>Definitely not</t>
        </is>
      </c>
      <c r="BI29" t="inlineStr">
        <is>
          <t xml:space="preserve">No </t>
        </is>
      </c>
      <c r="BJ29" t="inlineStr">
        <is>
          <t xml:space="preserve">Important </t>
        </is>
      </c>
      <c r="BK29" t="inlineStr">
        <is>
          <t xml:space="preserve">Did not screen partner </t>
        </is>
      </c>
      <c r="BP29" t="inlineStr">
        <is>
          <t xml:space="preserve">Agree </t>
        </is>
      </c>
      <c r="BQ29" t="inlineStr">
        <is>
          <t xml:space="preserve">Yes </t>
        </is>
      </c>
      <c r="BS29" t="inlineStr">
        <is>
          <t>None</t>
        </is>
      </c>
      <c r="BT29" t="inlineStr">
        <is>
          <t>None</t>
        </is>
      </c>
      <c r="BU29" t="inlineStr">
        <is>
          <t>None</t>
        </is>
      </c>
      <c r="BV29" t="inlineStr">
        <is>
          <t xml:space="preserve">Lack of knowledge </t>
        </is>
      </c>
      <c r="BW29" t="n">
        <v>1</v>
      </c>
      <c r="BX29" t="n">
        <v>0</v>
      </c>
      <c r="BY29" t="n">
        <v>0</v>
      </c>
      <c r="BZ29" t="n">
        <v>0</v>
      </c>
      <c r="CA29" t="n">
        <v>0</v>
      </c>
      <c r="CB29" t="n">
        <v>0</v>
      </c>
      <c r="CD29" t="inlineStr">
        <is>
          <t>Not sure</t>
        </is>
      </c>
      <c r="CE29" t="inlineStr">
        <is>
          <t xml:space="preserve">Important </t>
        </is>
      </c>
      <c r="CF29" t="n">
        <v>593656965</v>
      </c>
      <c r="CG29" t="inlineStr">
        <is>
          <t>28c7b05d-2aa1-4419-adc4-27c30f83be64</t>
        </is>
      </c>
      <c r="CH29" s="1" t="n">
        <v>45959.60083333333</v>
      </c>
      <c r="CK29" t="inlineStr">
        <is>
          <t>submitted_via_web</t>
        </is>
      </c>
      <c r="CM29" t="inlineStr">
        <is>
          <t>vteYUDpqfKnk39PHFZkvPS</t>
        </is>
      </c>
      <c r="CO29" t="inlineStr">
        <is>
          <t>uuid:28c7b05d-2aa1-4419-adc4-27c30f83be64</t>
        </is>
      </c>
      <c r="CP29" t="n">
        <v>28</v>
      </c>
      <c r="CQ29" t="n">
        <v>2</v>
      </c>
      <c r="CR29" t="n">
        <v>-0.7068355868689896</v>
      </c>
    </row>
    <row r="30">
      <c r="A30" s="1" t="n">
        <v>45960.4907622338</v>
      </c>
      <c r="B30" s="1" t="n">
        <v>45960.50304690973</v>
      </c>
      <c r="D30" t="inlineStr">
        <is>
          <t>22</t>
        </is>
      </c>
      <c r="E30" t="inlineStr">
        <is>
          <t>Female</t>
        </is>
      </c>
      <c r="F30" t="inlineStr">
        <is>
          <t>Sinhalese</t>
        </is>
      </c>
      <c r="H30" t="inlineStr">
        <is>
          <t>Roman Catholic</t>
        </is>
      </c>
      <c r="J30" t="inlineStr">
        <is>
          <t>Private sector</t>
        </is>
      </c>
      <c r="K30" t="inlineStr">
        <is>
          <t>25,000 – 50,000</t>
        </is>
      </c>
      <c r="L30" t="inlineStr">
        <is>
          <t xml:space="preserve">Undergraduate </t>
        </is>
      </c>
      <c r="M30" t="inlineStr">
        <is>
          <t>Western</t>
        </is>
      </c>
      <c r="N30" t="inlineStr">
        <is>
          <t>Single</t>
        </is>
      </c>
      <c r="P30" t="inlineStr">
        <is>
          <t>No</t>
        </is>
      </c>
      <c r="S30" t="inlineStr">
        <is>
          <t xml:space="preserve">During school/university  </t>
        </is>
      </c>
      <c r="U30" t="inlineStr">
        <is>
          <t>Yes</t>
        </is>
      </c>
      <c r="V30" t="inlineStr">
        <is>
          <t>Thalassemia major (severe form)   Thalassemia minor or trait (carrier form)</t>
        </is>
      </c>
      <c r="W30" t="n">
        <v>1</v>
      </c>
      <c r="X30" t="n">
        <v>1</v>
      </c>
      <c r="Y30" t="n">
        <v>0</v>
      </c>
      <c r="Z30" t="n">
        <v>0</v>
      </c>
      <c r="AA30" t="inlineStr">
        <is>
          <t xml:space="preserve">Thalassemia major (severe form)  </t>
        </is>
      </c>
      <c r="AB30" t="n">
        <v>1</v>
      </c>
      <c r="AC30" t="n">
        <v>0</v>
      </c>
      <c r="AD30" t="n">
        <v>0</v>
      </c>
      <c r="AE30" t="n">
        <v>0</v>
      </c>
      <c r="AF30" t="inlineStr">
        <is>
          <t>Thalassemia minor or trait (carrier form)</t>
        </is>
      </c>
      <c r="AG30" t="n">
        <v>0</v>
      </c>
      <c r="AH30" t="n">
        <v>1</v>
      </c>
      <c r="AI30" t="n">
        <v>0</v>
      </c>
      <c r="AJ30" t="n">
        <v>0</v>
      </c>
      <c r="AK30" t="inlineStr">
        <is>
          <t>Yes</t>
        </is>
      </c>
      <c r="AL30" t="inlineStr">
        <is>
          <t>Very difficult (e.g., bone marrow transplant)</t>
        </is>
      </c>
      <c r="AM30" t="inlineStr">
        <is>
          <t xml:space="preserve">Can be prevented </t>
        </is>
      </c>
      <c r="AN30" t="inlineStr">
        <is>
          <t xml:space="preserve">From generation to generation (hereditary)  </t>
        </is>
      </c>
      <c r="AO30" t="inlineStr">
        <is>
          <t>Healthy</t>
        </is>
      </c>
      <c r="AP30" t="inlineStr">
        <is>
          <t xml:space="preserve">Has a chance to be affected (e.g., 25%) </t>
        </is>
      </c>
      <c r="AQ30" t="inlineStr">
        <is>
          <t xml:space="preserve">Yes </t>
        </is>
      </c>
      <c r="AR30" t="inlineStr">
        <is>
          <t>Don’t know</t>
        </is>
      </c>
      <c r="AS30" t="inlineStr">
        <is>
          <t>Regular blood transfusions for life  Iron overload affecting heart and liver  Delayed growth and puberty Fatigue Bone deformities</t>
        </is>
      </c>
      <c r="AT30" t="n">
        <v>1</v>
      </c>
      <c r="AU30" t="n">
        <v>1</v>
      </c>
      <c r="AV30" t="n">
        <v>1</v>
      </c>
      <c r="AW30" t="n">
        <v>0</v>
      </c>
      <c r="AX30" t="n">
        <v>0</v>
      </c>
      <c r="AY30" t="n">
        <v>0</v>
      </c>
      <c r="AZ30" t="n">
        <v>1</v>
      </c>
      <c r="BA30" t="n">
        <v>1</v>
      </c>
      <c r="BB30" t="inlineStr">
        <is>
          <t xml:space="preserve"> Get the partner tested before marriage   Get family members tested </t>
        </is>
      </c>
      <c r="BC30" t="n">
        <v>1</v>
      </c>
      <c r="BD30" t="n">
        <v>1</v>
      </c>
      <c r="BE30" t="n">
        <v>0</v>
      </c>
      <c r="BF30" t="n">
        <v>0</v>
      </c>
      <c r="BG30" t="inlineStr">
        <is>
          <t xml:space="preserve">Healthcare staff (doctors and nurses) </t>
        </is>
      </c>
      <c r="BH30" t="inlineStr">
        <is>
          <t>Definitely not</t>
        </is>
      </c>
      <c r="BI30" t="inlineStr">
        <is>
          <t xml:space="preserve">No </t>
        </is>
      </c>
      <c r="BJ30" t="inlineStr">
        <is>
          <t xml:space="preserve">Very important </t>
        </is>
      </c>
      <c r="BK30" t="inlineStr">
        <is>
          <t>Other</t>
        </is>
      </c>
      <c r="BL30" t="inlineStr">
        <is>
          <t>Still not married. Will be screen before marriage</t>
        </is>
      </c>
      <c r="BM30" t="inlineStr">
        <is>
          <t>Other</t>
        </is>
      </c>
      <c r="BN30" t="inlineStr">
        <is>
          <t>Still not married. Will be screen before marriage</t>
        </is>
      </c>
      <c r="BP30" t="inlineStr">
        <is>
          <t xml:space="preserve">Agree </t>
        </is>
      </c>
      <c r="BQ30" t="inlineStr">
        <is>
          <t xml:space="preserve">Yes </t>
        </is>
      </c>
      <c r="BS30" t="inlineStr">
        <is>
          <t>All</t>
        </is>
      </c>
      <c r="BT30" t="inlineStr">
        <is>
          <t>Some</t>
        </is>
      </c>
      <c r="BU30" t="inlineStr">
        <is>
          <t>Some</t>
        </is>
      </c>
      <c r="BV30" t="inlineStr">
        <is>
          <t>Concern about stigma or discrimination</t>
        </is>
      </c>
      <c r="BW30" t="n">
        <v>0</v>
      </c>
      <c r="BX30" t="n">
        <v>1</v>
      </c>
      <c r="BY30" t="n">
        <v>0</v>
      </c>
      <c r="BZ30" t="n">
        <v>0</v>
      </c>
      <c r="CA30" t="n">
        <v>0</v>
      </c>
      <c r="CB30" t="n">
        <v>0</v>
      </c>
      <c r="CD30" t="inlineStr">
        <is>
          <t xml:space="preserve">Somewhat easy </t>
        </is>
      </c>
      <c r="CE30" t="inlineStr">
        <is>
          <t xml:space="preserve"> Very important</t>
        </is>
      </c>
      <c r="CF30" t="n">
        <v>594124893</v>
      </c>
      <c r="CG30" t="inlineStr">
        <is>
          <t>4d5ba9b0-b1f0-429f-9b4a-151616a2c6c8</t>
        </is>
      </c>
      <c r="CH30" s="1" t="n">
        <v>45960.27388888889</v>
      </c>
      <c r="CK30" t="inlineStr">
        <is>
          <t>submitted_via_web</t>
        </is>
      </c>
      <c r="CM30" t="inlineStr">
        <is>
          <t>vteYUDpqfKnk39PHFZkvPS</t>
        </is>
      </c>
      <c r="CO30" t="inlineStr">
        <is>
          <t>uuid:4d5ba9b0-b1f0-429f-9b4a-151616a2c6c8</t>
        </is>
      </c>
      <c r="CP30" t="n">
        <v>29</v>
      </c>
      <c r="CQ30" t="n">
        <v>7</v>
      </c>
      <c r="CR30" t="n">
        <v>1.244729701052259</v>
      </c>
    </row>
    <row r="31">
      <c r="A31" s="1" t="n">
        <v>45960.74747018518</v>
      </c>
      <c r="B31" s="1" t="n">
        <v>45960.74914751157</v>
      </c>
      <c r="D31" t="inlineStr">
        <is>
          <t>32</t>
        </is>
      </c>
      <c r="E31" t="inlineStr">
        <is>
          <t xml:space="preserve">Male </t>
        </is>
      </c>
      <c r="F31" t="inlineStr">
        <is>
          <t>Sinhalese</t>
        </is>
      </c>
      <c r="H31" t="inlineStr">
        <is>
          <t>Buddhist</t>
        </is>
      </c>
      <c r="J31" t="inlineStr">
        <is>
          <t>Private sector</t>
        </is>
      </c>
      <c r="K31" t="inlineStr">
        <is>
          <t>51,000 – 100,000</t>
        </is>
      </c>
      <c r="L31" t="inlineStr">
        <is>
          <t xml:space="preserve">Up to A/L </t>
        </is>
      </c>
      <c r="M31" t="inlineStr">
        <is>
          <t>Western</t>
        </is>
      </c>
      <c r="N31" t="inlineStr">
        <is>
          <t xml:space="preserve">Married </t>
        </is>
      </c>
      <c r="O31" t="inlineStr">
        <is>
          <t xml:space="preserve">Yes, only one child </t>
        </is>
      </c>
      <c r="P31" t="inlineStr">
        <is>
          <t>No</t>
        </is>
      </c>
      <c r="S31" t="inlineStr">
        <is>
          <t>At workplace</t>
        </is>
      </c>
      <c r="U31" t="inlineStr">
        <is>
          <t>Yes</t>
        </is>
      </c>
      <c r="V31" t="inlineStr">
        <is>
          <t>Thalassemia major (severe form)   Thalassemia minor or trait (carrier form)</t>
        </is>
      </c>
      <c r="W31" t="n">
        <v>1</v>
      </c>
      <c r="X31" t="n">
        <v>1</v>
      </c>
      <c r="Y31" t="n">
        <v>0</v>
      </c>
      <c r="Z31" t="n">
        <v>0</v>
      </c>
      <c r="AA31" t="inlineStr">
        <is>
          <t>I don’t know</t>
        </is>
      </c>
      <c r="AB31" t="n">
        <v>0</v>
      </c>
      <c r="AC31" t="n">
        <v>0</v>
      </c>
      <c r="AD31" t="n">
        <v>0</v>
      </c>
      <c r="AE31" t="n">
        <v>1</v>
      </c>
      <c r="AF31" t="inlineStr">
        <is>
          <t xml:space="preserve">Thalassemia major (severe form)  </t>
        </is>
      </c>
      <c r="AG31" t="n">
        <v>1</v>
      </c>
      <c r="AH31" t="n">
        <v>0</v>
      </c>
      <c r="AI31" t="n">
        <v>0</v>
      </c>
      <c r="AJ31" t="n">
        <v>0</v>
      </c>
      <c r="AK31" t="inlineStr">
        <is>
          <t>Don’t know</t>
        </is>
      </c>
      <c r="AL31" t="inlineStr">
        <is>
          <t>Don’t know</t>
        </is>
      </c>
      <c r="AM31" t="inlineStr">
        <is>
          <t xml:space="preserve">Can be prevented </t>
        </is>
      </c>
      <c r="AN31" t="inlineStr">
        <is>
          <t xml:space="preserve">From generation to generation (hereditary)  </t>
        </is>
      </c>
      <c r="AO31" t="inlineStr">
        <is>
          <t>Healthy</t>
        </is>
      </c>
      <c r="AP31" t="inlineStr">
        <is>
          <t xml:space="preserve">Has a chance to be affected (e.g., 25%) </t>
        </is>
      </c>
      <c r="AQ31" t="inlineStr">
        <is>
          <t xml:space="preserve">Yes </t>
        </is>
      </c>
      <c r="AR31" t="inlineStr">
        <is>
          <t>Don’t know</t>
        </is>
      </c>
      <c r="AS31" t="inlineStr">
        <is>
          <t xml:space="preserve">Regular blood transfusions for life </t>
        </is>
      </c>
      <c r="AT31" t="n">
        <v>1</v>
      </c>
      <c r="AU31" t="n">
        <v>0</v>
      </c>
      <c r="AV31" t="n">
        <v>0</v>
      </c>
      <c r="AW31" t="n">
        <v>0</v>
      </c>
      <c r="AX31" t="n">
        <v>0</v>
      </c>
      <c r="AY31" t="n">
        <v>0</v>
      </c>
      <c r="AZ31" t="n">
        <v>0</v>
      </c>
      <c r="BA31" t="n">
        <v>0</v>
      </c>
      <c r="BB31" t="inlineStr">
        <is>
          <t xml:space="preserve"> Get the partner tested before marriage   Get family members tested </t>
        </is>
      </c>
      <c r="BC31" t="n">
        <v>1</v>
      </c>
      <c r="BD31" t="n">
        <v>1</v>
      </c>
      <c r="BE31" t="n">
        <v>0</v>
      </c>
      <c r="BF31" t="n">
        <v>0</v>
      </c>
      <c r="BG31" t="inlineStr">
        <is>
          <t xml:space="preserve">School  </t>
        </is>
      </c>
      <c r="BH31" t="inlineStr">
        <is>
          <t>Definitely not</t>
        </is>
      </c>
      <c r="BI31" t="inlineStr">
        <is>
          <t xml:space="preserve">No </t>
        </is>
      </c>
      <c r="BJ31" t="inlineStr">
        <is>
          <t xml:space="preserve">Very important </t>
        </is>
      </c>
      <c r="BK31" t="inlineStr">
        <is>
          <t xml:space="preserve"> Partner was screened after marriage </t>
        </is>
      </c>
      <c r="BM31" t="inlineStr">
        <is>
          <t>Other</t>
        </is>
      </c>
      <c r="BN31" t="inlineStr">
        <is>
          <t>Screened after marriage</t>
        </is>
      </c>
      <c r="BP31" t="inlineStr">
        <is>
          <t xml:space="preserve">Agree </t>
        </is>
      </c>
      <c r="BQ31" t="inlineStr">
        <is>
          <t xml:space="preserve">Yes </t>
        </is>
      </c>
      <c r="BS31" t="inlineStr">
        <is>
          <t>All</t>
        </is>
      </c>
      <c r="BT31" t="inlineStr">
        <is>
          <t>Some</t>
        </is>
      </c>
      <c r="BU31" t="inlineStr">
        <is>
          <t>None</t>
        </is>
      </c>
      <c r="BV31" t="inlineStr">
        <is>
          <t>Concern about stigma or discrimination</t>
        </is>
      </c>
      <c r="BW31" t="n">
        <v>0</v>
      </c>
      <c r="BX31" t="n">
        <v>1</v>
      </c>
      <c r="BY31" t="n">
        <v>0</v>
      </c>
      <c r="BZ31" t="n">
        <v>0</v>
      </c>
      <c r="CA31" t="n">
        <v>0</v>
      </c>
      <c r="CB31" t="n">
        <v>0</v>
      </c>
      <c r="CD31" t="inlineStr">
        <is>
          <t xml:space="preserve">Somewhat easy </t>
        </is>
      </c>
      <c r="CE31" t="inlineStr">
        <is>
          <t xml:space="preserve"> Very important</t>
        </is>
      </c>
      <c r="CF31" t="n">
        <v>594410717</v>
      </c>
      <c r="CG31" t="inlineStr">
        <is>
          <t>b231914b-e117-49be-a223-b20922dc4b1b</t>
        </is>
      </c>
      <c r="CH31" s="1" t="n">
        <v>45960.51998842593</v>
      </c>
      <c r="CK31" t="inlineStr">
        <is>
          <t>submitted_via_web</t>
        </is>
      </c>
      <c r="CM31" t="inlineStr">
        <is>
          <t>vteYUDpqfKnk39PHFZkvPS</t>
        </is>
      </c>
      <c r="CO31" t="inlineStr">
        <is>
          <t>uuid:b231914b-e117-49be-a223-b20922dc4b1b</t>
        </is>
      </c>
      <c r="CP31" t="n">
        <v>30</v>
      </c>
      <c r="CQ31" t="n">
        <v>3</v>
      </c>
      <c r="CR31" t="n">
        <v>-0.3165225292847399</v>
      </c>
    </row>
    <row r="32">
      <c r="A32" s="1" t="n">
        <v>45960.74914858797</v>
      </c>
      <c r="B32" s="1" t="n">
        <v>45960.75137790509</v>
      </c>
      <c r="D32" t="inlineStr">
        <is>
          <t>43</t>
        </is>
      </c>
      <c r="E32" t="inlineStr">
        <is>
          <t xml:space="preserve">Male </t>
        </is>
      </c>
      <c r="F32" t="inlineStr">
        <is>
          <t>Sinhalese</t>
        </is>
      </c>
      <c r="H32" t="inlineStr">
        <is>
          <t>Buddhist</t>
        </is>
      </c>
      <c r="J32" t="inlineStr">
        <is>
          <t>Private sector</t>
        </is>
      </c>
      <c r="K32" t="inlineStr">
        <is>
          <t>25,000 – 50,000</t>
        </is>
      </c>
      <c r="L32" t="inlineStr">
        <is>
          <t xml:space="preserve">Graduate </t>
        </is>
      </c>
      <c r="M32" t="inlineStr">
        <is>
          <t>Western</t>
        </is>
      </c>
      <c r="N32" t="inlineStr">
        <is>
          <t xml:space="preserve">Married </t>
        </is>
      </c>
      <c r="O32" t="inlineStr">
        <is>
          <t xml:space="preserve">Yes, more than one child </t>
        </is>
      </c>
      <c r="P32" t="inlineStr">
        <is>
          <t xml:space="preserve"> Yes </t>
        </is>
      </c>
      <c r="Q32" t="inlineStr">
        <is>
          <t>Thalassemia</t>
        </is>
      </c>
      <c r="S32" t="inlineStr">
        <is>
          <t>Referral by a doctor</t>
        </is>
      </c>
      <c r="U32" t="inlineStr">
        <is>
          <t>Yes</t>
        </is>
      </c>
      <c r="V32" t="inlineStr">
        <is>
          <t>Thalassemia major (severe form)   Thalassemia minor or trait (carrier form)</t>
        </is>
      </c>
      <c r="W32" t="n">
        <v>1</v>
      </c>
      <c r="X32" t="n">
        <v>1</v>
      </c>
      <c r="Y32" t="n">
        <v>0</v>
      </c>
      <c r="Z32" t="n">
        <v>0</v>
      </c>
      <c r="AA32" t="inlineStr">
        <is>
          <t xml:space="preserve">Thalassemia major (severe form)  </t>
        </is>
      </c>
      <c r="AB32" t="n">
        <v>1</v>
      </c>
      <c r="AC32" t="n">
        <v>0</v>
      </c>
      <c r="AD32" t="n">
        <v>0</v>
      </c>
      <c r="AE32" t="n">
        <v>0</v>
      </c>
      <c r="AF32" t="inlineStr">
        <is>
          <t>Thalassemia minor or trait (carrier form)</t>
        </is>
      </c>
      <c r="AG32" t="n">
        <v>0</v>
      </c>
      <c r="AH32" t="n">
        <v>1</v>
      </c>
      <c r="AI32" t="n">
        <v>0</v>
      </c>
      <c r="AJ32" t="n">
        <v>0</v>
      </c>
      <c r="AK32" t="inlineStr">
        <is>
          <t>Don’t know</t>
        </is>
      </c>
      <c r="AL32" t="inlineStr">
        <is>
          <t xml:space="preserve">Cannot be cured   </t>
        </is>
      </c>
      <c r="AM32" t="inlineStr">
        <is>
          <t>Cannot be prevented</t>
        </is>
      </c>
      <c r="AN32" t="inlineStr">
        <is>
          <t xml:space="preserve">From generation to generation (hereditary)  </t>
        </is>
      </c>
      <c r="AO32" t="inlineStr">
        <is>
          <t>Healthy</t>
        </is>
      </c>
      <c r="AP32" t="inlineStr">
        <is>
          <t xml:space="preserve">Has a chance to be affected (e.g., 25%) </t>
        </is>
      </c>
      <c r="AQ32" t="inlineStr">
        <is>
          <t xml:space="preserve">Yes </t>
        </is>
      </c>
      <c r="AR32" t="inlineStr">
        <is>
          <t>Don’t know</t>
        </is>
      </c>
      <c r="AS32" t="inlineStr">
        <is>
          <t>Regular blood transfusions for life  Fatigue</t>
        </is>
      </c>
      <c r="AT32" t="n">
        <v>1</v>
      </c>
      <c r="AU32" t="n">
        <v>0</v>
      </c>
      <c r="AV32" t="n">
        <v>0</v>
      </c>
      <c r="AW32" t="n">
        <v>0</v>
      </c>
      <c r="AX32" t="n">
        <v>0</v>
      </c>
      <c r="AY32" t="n">
        <v>0</v>
      </c>
      <c r="AZ32" t="n">
        <v>1</v>
      </c>
      <c r="BA32" t="n">
        <v>0</v>
      </c>
      <c r="BB32" t="inlineStr">
        <is>
          <t xml:space="preserve"> Get the partner tested before marriage   Get family members tested </t>
        </is>
      </c>
      <c r="BC32" t="n">
        <v>1</v>
      </c>
      <c r="BD32" t="n">
        <v>1</v>
      </c>
      <c r="BE32" t="n">
        <v>0</v>
      </c>
      <c r="BF32" t="n">
        <v>0</v>
      </c>
      <c r="BG32" t="inlineStr">
        <is>
          <t xml:space="preserve">School  </t>
        </is>
      </c>
      <c r="BH32" t="inlineStr">
        <is>
          <t>Definitely not</t>
        </is>
      </c>
      <c r="BI32" t="inlineStr">
        <is>
          <t xml:space="preserve">No </t>
        </is>
      </c>
      <c r="BJ32" t="inlineStr">
        <is>
          <t xml:space="preserve">Very important </t>
        </is>
      </c>
      <c r="BK32" t="inlineStr">
        <is>
          <t xml:space="preserve"> Partner was screened after marriage </t>
        </is>
      </c>
      <c r="BM32" t="inlineStr">
        <is>
          <t>Other</t>
        </is>
      </c>
      <c r="BN32" t="inlineStr">
        <is>
          <t>Partner was screened after marriage</t>
        </is>
      </c>
      <c r="BP32" t="inlineStr">
        <is>
          <t xml:space="preserve">Agree </t>
        </is>
      </c>
      <c r="BQ32" t="inlineStr">
        <is>
          <t xml:space="preserve">Yes </t>
        </is>
      </c>
      <c r="BS32" t="inlineStr">
        <is>
          <t>All</t>
        </is>
      </c>
      <c r="BT32" t="inlineStr">
        <is>
          <t>Some</t>
        </is>
      </c>
      <c r="BU32" t="inlineStr">
        <is>
          <t>None</t>
        </is>
      </c>
      <c r="BV32" t="inlineStr">
        <is>
          <t>Concern about stigma or discrimination</t>
        </is>
      </c>
      <c r="BW32" t="n">
        <v>0</v>
      </c>
      <c r="BX32" t="n">
        <v>1</v>
      </c>
      <c r="BY32" t="n">
        <v>0</v>
      </c>
      <c r="BZ32" t="n">
        <v>0</v>
      </c>
      <c r="CA32" t="n">
        <v>0</v>
      </c>
      <c r="CB32" t="n">
        <v>0</v>
      </c>
      <c r="CD32" t="inlineStr">
        <is>
          <t xml:space="preserve">Somewhat easy </t>
        </is>
      </c>
      <c r="CE32" t="inlineStr">
        <is>
          <t xml:space="preserve"> Very important</t>
        </is>
      </c>
      <c r="CF32" t="n">
        <v>594412904</v>
      </c>
      <c r="CG32" t="inlineStr">
        <is>
          <t>533b832f-fc1f-4a18-92e3-16005969daae</t>
        </is>
      </c>
      <c r="CH32" s="1" t="n">
        <v>45960.52222222222</v>
      </c>
      <c r="CK32" t="inlineStr">
        <is>
          <t>submitted_via_web</t>
        </is>
      </c>
      <c r="CM32" t="inlineStr">
        <is>
          <t>vteYUDpqfKnk39PHFZkvPS</t>
        </is>
      </c>
      <c r="CO32" t="inlineStr">
        <is>
          <t>uuid:533b832f-fc1f-4a18-92e3-16005969daae</t>
        </is>
      </c>
      <c r="CP32" t="n">
        <v>31</v>
      </c>
      <c r="CQ32" t="n">
        <v>4</v>
      </c>
      <c r="CR32" t="n">
        <v>0.07379052829950983</v>
      </c>
    </row>
    <row r="33">
      <c r="A33" s="1" t="n">
        <v>45960.75137891203</v>
      </c>
      <c r="B33" s="1" t="n">
        <v>45960.77314542824</v>
      </c>
      <c r="D33" t="inlineStr">
        <is>
          <t>34</t>
        </is>
      </c>
      <c r="E33" t="inlineStr">
        <is>
          <t xml:space="preserve">Male </t>
        </is>
      </c>
      <c r="F33" t="inlineStr">
        <is>
          <t>Sinhalese</t>
        </is>
      </c>
      <c r="H33" t="inlineStr">
        <is>
          <t>Buddhist</t>
        </is>
      </c>
      <c r="J33" t="inlineStr">
        <is>
          <t>Private sector</t>
        </is>
      </c>
      <c r="K33" t="inlineStr">
        <is>
          <t>51,000 – 100,000</t>
        </is>
      </c>
      <c r="L33" t="inlineStr">
        <is>
          <t xml:space="preserve">Up to A/L </t>
        </is>
      </c>
      <c r="M33" t="inlineStr">
        <is>
          <t>Western</t>
        </is>
      </c>
      <c r="N33" t="inlineStr">
        <is>
          <t xml:space="preserve">Married </t>
        </is>
      </c>
      <c r="O33" t="inlineStr">
        <is>
          <t xml:space="preserve">Yes, only one child </t>
        </is>
      </c>
      <c r="P33" t="inlineStr">
        <is>
          <t xml:space="preserve"> Yes </t>
        </is>
      </c>
      <c r="Q33" t="inlineStr">
        <is>
          <t>Thalassemia</t>
        </is>
      </c>
      <c r="S33" t="inlineStr">
        <is>
          <t>At workplace</t>
        </is>
      </c>
      <c r="U33" t="inlineStr">
        <is>
          <t>Yes</t>
        </is>
      </c>
      <c r="V33" t="inlineStr">
        <is>
          <t>Thalassemia major (severe form)   Thalassemia minor or trait (carrier form)</t>
        </is>
      </c>
      <c r="W33" t="n">
        <v>1</v>
      </c>
      <c r="X33" t="n">
        <v>1</v>
      </c>
      <c r="Y33" t="n">
        <v>0</v>
      </c>
      <c r="Z33" t="n">
        <v>0</v>
      </c>
      <c r="AA33" t="inlineStr">
        <is>
          <t xml:space="preserve">Thalassemia major (severe form)  </t>
        </is>
      </c>
      <c r="AB33" t="n">
        <v>1</v>
      </c>
      <c r="AC33" t="n">
        <v>0</v>
      </c>
      <c r="AD33" t="n">
        <v>0</v>
      </c>
      <c r="AE33" t="n">
        <v>0</v>
      </c>
      <c r="AF33" t="inlineStr">
        <is>
          <t>Thalassemia minor or trait (carrier form)</t>
        </is>
      </c>
      <c r="AG33" t="n">
        <v>0</v>
      </c>
      <c r="AH33" t="n">
        <v>1</v>
      </c>
      <c r="AI33" t="n">
        <v>0</v>
      </c>
      <c r="AJ33" t="n">
        <v>0</v>
      </c>
      <c r="AK33" t="inlineStr">
        <is>
          <t>Don’t know</t>
        </is>
      </c>
      <c r="AL33" t="inlineStr">
        <is>
          <t xml:space="preserve">Cannot be cured   </t>
        </is>
      </c>
      <c r="AM33" t="inlineStr">
        <is>
          <t xml:space="preserve">Can be prevented </t>
        </is>
      </c>
      <c r="AN33" t="inlineStr">
        <is>
          <t xml:space="preserve">From generation to generation (hereditary)  </t>
        </is>
      </c>
      <c r="AO33" t="inlineStr">
        <is>
          <t>Healthy</t>
        </is>
      </c>
      <c r="AP33" t="inlineStr">
        <is>
          <t xml:space="preserve">Has a chance to be affected (e.g., 25%) </t>
        </is>
      </c>
      <c r="AQ33" t="inlineStr">
        <is>
          <t xml:space="preserve">Yes </t>
        </is>
      </c>
      <c r="AR33" t="inlineStr">
        <is>
          <t>Don’t know</t>
        </is>
      </c>
      <c r="AS33" t="inlineStr">
        <is>
          <t xml:space="preserve">Regular blood transfusions for life </t>
        </is>
      </c>
      <c r="AT33" t="n">
        <v>1</v>
      </c>
      <c r="AU33" t="n">
        <v>0</v>
      </c>
      <c r="AV33" t="n">
        <v>0</v>
      </c>
      <c r="AW33" t="n">
        <v>0</v>
      </c>
      <c r="AX33" t="n">
        <v>0</v>
      </c>
      <c r="AY33" t="n">
        <v>0</v>
      </c>
      <c r="AZ33" t="n">
        <v>0</v>
      </c>
      <c r="BA33" t="n">
        <v>0</v>
      </c>
      <c r="BB33" t="inlineStr">
        <is>
          <t xml:space="preserve"> Get the partner tested before marriage   Get family members tested </t>
        </is>
      </c>
      <c r="BC33" t="n">
        <v>1</v>
      </c>
      <c r="BD33" t="n">
        <v>1</v>
      </c>
      <c r="BE33" t="n">
        <v>0</v>
      </c>
      <c r="BF33" t="n">
        <v>0</v>
      </c>
      <c r="BG33" t="inlineStr">
        <is>
          <t xml:space="preserve">School  </t>
        </is>
      </c>
      <c r="BH33" t="inlineStr">
        <is>
          <t>Definitely not</t>
        </is>
      </c>
      <c r="BI33" t="inlineStr">
        <is>
          <t xml:space="preserve">No </t>
        </is>
      </c>
      <c r="BJ33" t="inlineStr">
        <is>
          <t xml:space="preserve">Very important </t>
        </is>
      </c>
      <c r="BK33" t="inlineStr">
        <is>
          <t xml:space="preserve"> Partner was screened after marriage </t>
        </is>
      </c>
      <c r="BM33" t="inlineStr">
        <is>
          <t>Other</t>
        </is>
      </c>
      <c r="BN33" t="inlineStr">
        <is>
          <t>Partner was screened after marriage</t>
        </is>
      </c>
      <c r="BP33" t="inlineStr">
        <is>
          <t xml:space="preserve">Agree </t>
        </is>
      </c>
      <c r="BQ33" t="inlineStr">
        <is>
          <t xml:space="preserve">Yes </t>
        </is>
      </c>
      <c r="BS33" t="inlineStr">
        <is>
          <t>All</t>
        </is>
      </c>
      <c r="BT33" t="inlineStr">
        <is>
          <t>Some</t>
        </is>
      </c>
      <c r="BU33" t="inlineStr">
        <is>
          <t>None</t>
        </is>
      </c>
      <c r="BV33" t="inlineStr">
        <is>
          <t>Concern about stigma or discrimination</t>
        </is>
      </c>
      <c r="BW33" t="n">
        <v>0</v>
      </c>
      <c r="BX33" t="n">
        <v>1</v>
      </c>
      <c r="BY33" t="n">
        <v>0</v>
      </c>
      <c r="BZ33" t="n">
        <v>0</v>
      </c>
      <c r="CA33" t="n">
        <v>0</v>
      </c>
      <c r="CB33" t="n">
        <v>0</v>
      </c>
      <c r="CD33" t="inlineStr">
        <is>
          <t xml:space="preserve">Somewhat easy </t>
        </is>
      </c>
      <c r="CE33" t="inlineStr">
        <is>
          <t xml:space="preserve"> Very important</t>
        </is>
      </c>
      <c r="CF33" t="n">
        <v>594438410</v>
      </c>
      <c r="CG33" t="inlineStr">
        <is>
          <t>5e6e4356-52fe-4ce5-9d48-0dcafed88ffd</t>
        </is>
      </c>
      <c r="CH33" s="1" t="n">
        <v>45960.54399305556</v>
      </c>
      <c r="CK33" t="inlineStr">
        <is>
          <t>submitted_via_web</t>
        </is>
      </c>
      <c r="CM33" t="inlineStr">
        <is>
          <t>vteYUDpqfKnk39PHFZkvPS</t>
        </is>
      </c>
      <c r="CO33" t="inlineStr">
        <is>
          <t>uuid:5e6e4356-52fe-4ce5-9d48-0dcafed88ffd</t>
        </is>
      </c>
      <c r="CP33" t="n">
        <v>32</v>
      </c>
      <c r="CQ33" t="n">
        <v>3</v>
      </c>
      <c r="CR33" t="n">
        <v>-0.3165225292847399</v>
      </c>
    </row>
    <row r="34">
      <c r="A34" s="1" t="n">
        <v>45959.79731619213</v>
      </c>
      <c r="B34" s="1" t="n">
        <v>45960.77642025463</v>
      </c>
      <c r="D34" t="inlineStr">
        <is>
          <t>23</t>
        </is>
      </c>
      <c r="E34" t="inlineStr">
        <is>
          <t>Female</t>
        </is>
      </c>
      <c r="F34" t="inlineStr">
        <is>
          <t>Sinhalese</t>
        </is>
      </c>
      <c r="H34" t="inlineStr">
        <is>
          <t>Buddhist</t>
        </is>
      </c>
      <c r="J34" t="inlineStr">
        <is>
          <t>Not employed</t>
        </is>
      </c>
      <c r="L34" t="inlineStr">
        <is>
          <t xml:space="preserve">Up to A/L </t>
        </is>
      </c>
      <c r="M34" t="inlineStr">
        <is>
          <t>Western</t>
        </is>
      </c>
      <c r="N34" t="inlineStr">
        <is>
          <t>Single</t>
        </is>
      </c>
      <c r="P34" t="inlineStr">
        <is>
          <t>No</t>
        </is>
      </c>
      <c r="R34" s="1" t="n">
        <v>43518</v>
      </c>
      <c r="S34" t="inlineStr">
        <is>
          <t xml:space="preserve">During school/university  </t>
        </is>
      </c>
      <c r="U34" t="inlineStr">
        <is>
          <t>Yes</t>
        </is>
      </c>
      <c r="V34" t="inlineStr">
        <is>
          <t>Thalassemia major (severe form)   Thalassemia minor or trait (carrier form)</t>
        </is>
      </c>
      <c r="W34" t="n">
        <v>1</v>
      </c>
      <c r="X34" t="n">
        <v>1</v>
      </c>
      <c r="Y34" t="n">
        <v>0</v>
      </c>
      <c r="Z34" t="n">
        <v>0</v>
      </c>
      <c r="AA34" t="inlineStr">
        <is>
          <t>I don’t know</t>
        </is>
      </c>
      <c r="AB34" t="n">
        <v>0</v>
      </c>
      <c r="AC34" t="n">
        <v>0</v>
      </c>
      <c r="AD34" t="n">
        <v>0</v>
      </c>
      <c r="AE34" t="n">
        <v>1</v>
      </c>
      <c r="AF34" t="inlineStr">
        <is>
          <t>Thalassemia minor or trait (carrier form)</t>
        </is>
      </c>
      <c r="AG34" t="n">
        <v>0</v>
      </c>
      <c r="AH34" t="n">
        <v>1</v>
      </c>
      <c r="AI34" t="n">
        <v>0</v>
      </c>
      <c r="AJ34" t="n">
        <v>0</v>
      </c>
      <c r="AK34" t="inlineStr">
        <is>
          <t>Don’t know</t>
        </is>
      </c>
      <c r="AL34" t="inlineStr">
        <is>
          <t>Don’t know</t>
        </is>
      </c>
      <c r="AM34" t="inlineStr">
        <is>
          <t xml:space="preserve">Can be prevented </t>
        </is>
      </c>
      <c r="AN34" t="inlineStr">
        <is>
          <t xml:space="preserve">From generation to generation (hereditary)  </t>
        </is>
      </c>
      <c r="AO34" t="inlineStr">
        <is>
          <t>Healthy</t>
        </is>
      </c>
      <c r="AP34" t="inlineStr">
        <is>
          <t>Always affected by thalassemia</t>
        </is>
      </c>
      <c r="AQ34" t="inlineStr">
        <is>
          <t>No</t>
        </is>
      </c>
      <c r="AR34" t="inlineStr">
        <is>
          <t>Don’t know</t>
        </is>
      </c>
      <c r="AS34" t="inlineStr">
        <is>
          <t xml:space="preserve">Regular blood transfusions for life </t>
        </is>
      </c>
      <c r="AT34" t="n">
        <v>1</v>
      </c>
      <c r="AU34" t="n">
        <v>0</v>
      </c>
      <c r="AV34" t="n">
        <v>0</v>
      </c>
      <c r="AW34" t="n">
        <v>0</v>
      </c>
      <c r="AX34" t="n">
        <v>0</v>
      </c>
      <c r="AY34" t="n">
        <v>0</v>
      </c>
      <c r="AZ34" t="n">
        <v>0</v>
      </c>
      <c r="BA34" t="n">
        <v>0</v>
      </c>
      <c r="BB34" t="inlineStr">
        <is>
          <t xml:space="preserve">Get family members tested </t>
        </is>
      </c>
      <c r="BC34" t="n">
        <v>0</v>
      </c>
      <c r="BD34" t="n">
        <v>1</v>
      </c>
      <c r="BE34" t="n">
        <v>0</v>
      </c>
      <c r="BF34" t="n">
        <v>0</v>
      </c>
      <c r="BG34" t="inlineStr">
        <is>
          <t>Only found out after screening</t>
        </is>
      </c>
      <c r="BH34" t="inlineStr">
        <is>
          <t>Definitely not</t>
        </is>
      </c>
      <c r="BI34" t="inlineStr">
        <is>
          <t xml:space="preserve">No </t>
        </is>
      </c>
      <c r="BJ34" t="inlineStr">
        <is>
          <t xml:space="preserve">Very important </t>
        </is>
      </c>
      <c r="BP34" t="inlineStr">
        <is>
          <t xml:space="preserve">Agree </t>
        </is>
      </c>
      <c r="BQ34" t="inlineStr">
        <is>
          <t xml:space="preserve">Yes </t>
        </is>
      </c>
      <c r="BS34" t="inlineStr">
        <is>
          <t>None</t>
        </is>
      </c>
      <c r="BT34" t="inlineStr">
        <is>
          <t>Don't know</t>
        </is>
      </c>
      <c r="BU34" t="inlineStr">
        <is>
          <t>Don't know</t>
        </is>
      </c>
      <c r="BV34" t="inlineStr">
        <is>
          <t xml:space="preserve">Lack of knowledge </t>
        </is>
      </c>
      <c r="BW34" t="n">
        <v>1</v>
      </c>
      <c r="BX34" t="n">
        <v>0</v>
      </c>
      <c r="BY34" t="n">
        <v>0</v>
      </c>
      <c r="BZ34" t="n">
        <v>0</v>
      </c>
      <c r="CA34" t="n">
        <v>0</v>
      </c>
      <c r="CB34" t="n">
        <v>0</v>
      </c>
      <c r="CD34" t="inlineStr">
        <is>
          <t>Not sure</t>
        </is>
      </c>
      <c r="CE34" t="inlineStr">
        <is>
          <t xml:space="preserve"> Very important</t>
        </is>
      </c>
      <c r="CF34" t="n">
        <v>594445477</v>
      </c>
      <c r="CG34" t="inlineStr">
        <is>
          <t>d868e2ba-4918-4b3d-8fb6-fd880ec27001</t>
        </is>
      </c>
      <c r="CH34" s="1" t="n">
        <v>45960.5490625</v>
      </c>
      <c r="CK34" t="inlineStr">
        <is>
          <t>submitted_via_web</t>
        </is>
      </c>
      <c r="CM34" t="inlineStr">
        <is>
          <t>vteYUDpqfKnk39PHFZkvPS</t>
        </is>
      </c>
      <c r="CO34" t="inlineStr">
        <is>
          <t>uuid:d868e2ba-4918-4b3d-8fb6-fd880ec27001</t>
        </is>
      </c>
      <c r="CP34" t="n">
        <v>33</v>
      </c>
      <c r="CQ34" t="n">
        <v>3</v>
      </c>
      <c r="CR34" t="n">
        <v>-0.3165225292847399</v>
      </c>
    </row>
    <row r="35">
      <c r="A35" s="1" t="n">
        <v>45960.77642059028</v>
      </c>
      <c r="B35" s="1" t="n">
        <v>45960.78902368055</v>
      </c>
      <c r="D35" t="inlineStr">
        <is>
          <t>19</t>
        </is>
      </c>
      <c r="E35" t="inlineStr">
        <is>
          <t xml:space="preserve">Male </t>
        </is>
      </c>
      <c r="F35" t="inlineStr">
        <is>
          <t>Sinhalese</t>
        </is>
      </c>
      <c r="H35" t="inlineStr">
        <is>
          <t>Buddhist</t>
        </is>
      </c>
      <c r="L35" t="inlineStr">
        <is>
          <t xml:space="preserve">Up to O/L </t>
        </is>
      </c>
      <c r="M35" t="inlineStr">
        <is>
          <t>Western</t>
        </is>
      </c>
      <c r="N35" t="inlineStr">
        <is>
          <t>Single</t>
        </is>
      </c>
      <c r="P35" t="inlineStr">
        <is>
          <t xml:space="preserve"> Yes </t>
        </is>
      </c>
      <c r="Q35" t="inlineStr">
        <is>
          <t>Thalassemia</t>
        </is>
      </c>
      <c r="R35" s="1" t="n">
        <v>43480</v>
      </c>
      <c r="S35" t="inlineStr">
        <is>
          <t xml:space="preserve">During school/university  </t>
        </is>
      </c>
      <c r="U35" t="inlineStr">
        <is>
          <t>Yes</t>
        </is>
      </c>
      <c r="V35" t="inlineStr">
        <is>
          <t>Thalassemia minor or trait (carrier form)</t>
        </is>
      </c>
      <c r="W35" t="n">
        <v>0</v>
      </c>
      <c r="X35" t="n">
        <v>1</v>
      </c>
      <c r="Y35" t="n">
        <v>0</v>
      </c>
      <c r="Z35" t="n">
        <v>0</v>
      </c>
      <c r="AA35" t="inlineStr">
        <is>
          <t>I don’t know</t>
        </is>
      </c>
      <c r="AB35" t="n">
        <v>0</v>
      </c>
      <c r="AC35" t="n">
        <v>0</v>
      </c>
      <c r="AD35" t="n">
        <v>0</v>
      </c>
      <c r="AE35" t="n">
        <v>1</v>
      </c>
      <c r="AF35" t="inlineStr">
        <is>
          <t>Thalassemia minor or trait (carrier form)</t>
        </is>
      </c>
      <c r="AG35" t="n">
        <v>0</v>
      </c>
      <c r="AH35" t="n">
        <v>1</v>
      </c>
      <c r="AI35" t="n">
        <v>0</v>
      </c>
      <c r="AJ35" t="n">
        <v>0</v>
      </c>
      <c r="AK35" t="inlineStr">
        <is>
          <t>Don’t know</t>
        </is>
      </c>
      <c r="AL35" t="inlineStr">
        <is>
          <t>Don’t know</t>
        </is>
      </c>
      <c r="AM35" t="inlineStr">
        <is>
          <t xml:space="preserve">Can be prevented </t>
        </is>
      </c>
      <c r="AN35" t="inlineStr">
        <is>
          <t xml:space="preserve">From generation to generation (hereditary)  </t>
        </is>
      </c>
      <c r="AO35" t="inlineStr">
        <is>
          <t>Healthy</t>
        </is>
      </c>
      <c r="AP35" t="inlineStr">
        <is>
          <t>Don’t know</t>
        </is>
      </c>
      <c r="AQ35" t="inlineStr">
        <is>
          <t>No</t>
        </is>
      </c>
      <c r="AR35" t="inlineStr">
        <is>
          <t>Don’t know</t>
        </is>
      </c>
      <c r="BB35" t="inlineStr">
        <is>
          <t>I don’t know</t>
        </is>
      </c>
      <c r="BC35" t="n">
        <v>0</v>
      </c>
      <c r="BD35" t="n">
        <v>0</v>
      </c>
      <c r="BE35" t="n">
        <v>0</v>
      </c>
      <c r="BF35" t="n">
        <v>1</v>
      </c>
      <c r="BG35" t="inlineStr">
        <is>
          <t>Only found out after screening</t>
        </is>
      </c>
      <c r="BH35" t="inlineStr">
        <is>
          <t>Definitely not</t>
        </is>
      </c>
      <c r="BI35" t="inlineStr">
        <is>
          <t>Not sure</t>
        </is>
      </c>
      <c r="BJ35" t="inlineStr">
        <is>
          <t xml:space="preserve">Important </t>
        </is>
      </c>
      <c r="BP35" t="inlineStr">
        <is>
          <t xml:space="preserve">Agree </t>
        </is>
      </c>
      <c r="BQ35" t="inlineStr">
        <is>
          <t xml:space="preserve">Yes </t>
        </is>
      </c>
      <c r="BS35" t="inlineStr">
        <is>
          <t>All</t>
        </is>
      </c>
      <c r="BT35" t="inlineStr">
        <is>
          <t>Don't know</t>
        </is>
      </c>
      <c r="BU35" t="inlineStr">
        <is>
          <t>Don't know</t>
        </is>
      </c>
      <c r="CD35" t="inlineStr">
        <is>
          <t xml:space="preserve">Very easy </t>
        </is>
      </c>
      <c r="CE35" t="inlineStr">
        <is>
          <t xml:space="preserve"> Very important</t>
        </is>
      </c>
      <c r="CF35" t="n">
        <v>594459630</v>
      </c>
      <c r="CG35" t="inlineStr">
        <is>
          <t>4b553121-1a9d-4281-97aa-0035116fb930</t>
        </is>
      </c>
      <c r="CH35" s="1" t="n">
        <v>45960.55983796297</v>
      </c>
      <c r="CK35" t="inlineStr">
        <is>
          <t>submitted_via_web</t>
        </is>
      </c>
      <c r="CM35" t="inlineStr">
        <is>
          <t>vteYUDpqfKnk39PHFZkvPS</t>
        </is>
      </c>
      <c r="CO35" t="inlineStr">
        <is>
          <t>uuid:4b553121-1a9d-4281-97aa-0035116fb930</t>
        </is>
      </c>
      <c r="CP35" t="n">
        <v>34</v>
      </c>
      <c r="CQ35" t="n">
        <v>1</v>
      </c>
      <c r="CR35" t="n">
        <v>-1.097148644453239</v>
      </c>
    </row>
    <row r="36">
      <c r="A36" s="1" t="n">
        <v>45960.79165084491</v>
      </c>
      <c r="B36" s="1" t="n">
        <v>45960.79487335648</v>
      </c>
      <c r="D36" t="inlineStr">
        <is>
          <t>25</t>
        </is>
      </c>
      <c r="E36" t="inlineStr">
        <is>
          <t>Female</t>
        </is>
      </c>
      <c r="F36" t="inlineStr">
        <is>
          <t>Sinhalese</t>
        </is>
      </c>
      <c r="H36" t="inlineStr">
        <is>
          <t>Buddhist</t>
        </is>
      </c>
      <c r="J36" t="inlineStr">
        <is>
          <t>Not employed</t>
        </is>
      </c>
      <c r="L36" t="inlineStr">
        <is>
          <t xml:space="preserve">Undergraduate </t>
        </is>
      </c>
      <c r="M36" t="inlineStr">
        <is>
          <t xml:space="preserve">North Western </t>
        </is>
      </c>
      <c r="N36" t="inlineStr">
        <is>
          <t>Single</t>
        </is>
      </c>
      <c r="P36" t="inlineStr">
        <is>
          <t xml:space="preserve"> Yes </t>
        </is>
      </c>
      <c r="Q36" t="inlineStr">
        <is>
          <t>Thalesaemia</t>
        </is>
      </c>
      <c r="R36" s="1" t="n">
        <v>45960</v>
      </c>
      <c r="S36" t="inlineStr">
        <is>
          <t xml:space="preserve">During school/university  </t>
        </is>
      </c>
      <c r="U36" t="inlineStr">
        <is>
          <t>Yes</t>
        </is>
      </c>
      <c r="V36" t="inlineStr">
        <is>
          <t>Thalassemia minor or trait (carrier form)</t>
        </is>
      </c>
      <c r="W36" t="n">
        <v>0</v>
      </c>
      <c r="X36" t="n">
        <v>1</v>
      </c>
      <c r="Y36" t="n">
        <v>0</v>
      </c>
      <c r="Z36" t="n">
        <v>0</v>
      </c>
      <c r="AA36" t="inlineStr">
        <is>
          <t xml:space="preserve">Thalassemia major (severe form)  </t>
        </is>
      </c>
      <c r="AB36" t="n">
        <v>1</v>
      </c>
      <c r="AC36" t="n">
        <v>0</v>
      </c>
      <c r="AD36" t="n">
        <v>0</v>
      </c>
      <c r="AE36" t="n">
        <v>0</v>
      </c>
      <c r="AF36" t="inlineStr">
        <is>
          <t>Thalassemia minor or trait (carrier form)</t>
        </is>
      </c>
      <c r="AG36" t="n">
        <v>0</v>
      </c>
      <c r="AH36" t="n">
        <v>1</v>
      </c>
      <c r="AI36" t="n">
        <v>0</v>
      </c>
      <c r="AJ36" t="n">
        <v>0</v>
      </c>
      <c r="AK36" t="inlineStr">
        <is>
          <t>Yes</t>
        </is>
      </c>
      <c r="AL36" t="inlineStr">
        <is>
          <t xml:space="preserve">Cannot be cured   </t>
        </is>
      </c>
      <c r="AM36" t="inlineStr">
        <is>
          <t xml:space="preserve">Can be prevented </t>
        </is>
      </c>
      <c r="AN36" t="inlineStr">
        <is>
          <t xml:space="preserve">From generation to generation (hereditary)  </t>
        </is>
      </c>
      <c r="AO36" t="inlineStr">
        <is>
          <t>Healthy</t>
        </is>
      </c>
      <c r="AP36" t="inlineStr">
        <is>
          <t xml:space="preserve">Has a chance to be affected (e.g., 25%) </t>
        </is>
      </c>
      <c r="AQ36" t="inlineStr">
        <is>
          <t xml:space="preserve">Yes </t>
        </is>
      </c>
      <c r="AR36" t="inlineStr">
        <is>
          <t>Don’t know</t>
        </is>
      </c>
      <c r="AS36" t="inlineStr">
        <is>
          <t>Regular blood transfusions for life  Iron overload affecting heart and liver  Delayed growth and puberty Risk of diabetes, infertility, and hormonal issues  Risk of infections from transfusions Frequent nosebleeds Fatigue Bone deformities</t>
        </is>
      </c>
      <c r="AT36" t="n">
        <v>1</v>
      </c>
      <c r="AU36" t="n">
        <v>1</v>
      </c>
      <c r="AV36" t="n">
        <v>1</v>
      </c>
      <c r="AW36" t="n">
        <v>1</v>
      </c>
      <c r="AX36" t="n">
        <v>1</v>
      </c>
      <c r="AY36" t="n">
        <v>1</v>
      </c>
      <c r="AZ36" t="n">
        <v>1</v>
      </c>
      <c r="BA36" t="n">
        <v>1</v>
      </c>
      <c r="BB36" t="inlineStr">
        <is>
          <t xml:space="preserve"> Get the partner tested before marriage   Get family members tested </t>
        </is>
      </c>
      <c r="BC36" t="n">
        <v>1</v>
      </c>
      <c r="BD36" t="n">
        <v>1</v>
      </c>
      <c r="BE36" t="n">
        <v>0</v>
      </c>
      <c r="BF36" t="n">
        <v>0</v>
      </c>
      <c r="BG36" t="inlineStr">
        <is>
          <t xml:space="preserve">School  </t>
        </is>
      </c>
      <c r="BH36" t="inlineStr">
        <is>
          <t>Definitely not</t>
        </is>
      </c>
      <c r="BI36" t="inlineStr">
        <is>
          <t xml:space="preserve">No </t>
        </is>
      </c>
      <c r="BJ36" t="inlineStr">
        <is>
          <t xml:space="preserve">Very important </t>
        </is>
      </c>
      <c r="BK36" t="inlineStr">
        <is>
          <t>Partner was screened before marriage</t>
        </is>
      </c>
      <c r="BP36" t="inlineStr">
        <is>
          <t xml:space="preserve">Agree </t>
        </is>
      </c>
      <c r="BQ36" t="inlineStr">
        <is>
          <t xml:space="preserve">Yes </t>
        </is>
      </c>
      <c r="BS36" t="inlineStr">
        <is>
          <t>All</t>
        </is>
      </c>
      <c r="BT36" t="inlineStr">
        <is>
          <t>Don't know</t>
        </is>
      </c>
      <c r="BU36" t="inlineStr">
        <is>
          <t>Don't know</t>
        </is>
      </c>
      <c r="CD36" t="inlineStr">
        <is>
          <t>Not sure</t>
        </is>
      </c>
      <c r="CE36" t="inlineStr">
        <is>
          <t xml:space="preserve"> Very important</t>
        </is>
      </c>
      <c r="CF36" t="n">
        <v>594466768</v>
      </c>
      <c r="CG36" t="inlineStr">
        <is>
          <t>edc92692-ca92-44c3-a7f3-4e4254450676</t>
        </is>
      </c>
      <c r="CH36" s="1" t="n">
        <v>45960.56572916666</v>
      </c>
      <c r="CK36" t="inlineStr">
        <is>
          <t>submitted_via_web</t>
        </is>
      </c>
      <c r="CM36" t="inlineStr">
        <is>
          <t>vteYUDpqfKnk39PHFZkvPS</t>
        </is>
      </c>
      <c r="CO36" t="inlineStr">
        <is>
          <t>uuid:edc92692-ca92-44c3-a7f3-4e4254450676</t>
        </is>
      </c>
      <c r="CP36" t="n">
        <v>35</v>
      </c>
      <c r="CQ36" t="n">
        <v>9</v>
      </c>
      <c r="CR36" t="n">
        <v>2.025355816220758</v>
      </c>
    </row>
    <row r="37">
      <c r="A37" s="1" t="n">
        <v>45960.77314657407</v>
      </c>
      <c r="B37" s="1" t="n">
        <v>45960.80187688657</v>
      </c>
      <c r="D37" t="inlineStr">
        <is>
          <t>22</t>
        </is>
      </c>
      <c r="E37" t="inlineStr">
        <is>
          <t>Female</t>
        </is>
      </c>
      <c r="F37" t="inlineStr">
        <is>
          <t>Sinhalese</t>
        </is>
      </c>
      <c r="H37" t="inlineStr">
        <is>
          <t>Buddhist</t>
        </is>
      </c>
      <c r="J37" t="inlineStr">
        <is>
          <t>Not employed</t>
        </is>
      </c>
      <c r="L37" t="inlineStr">
        <is>
          <t xml:space="preserve">Up to A/L </t>
        </is>
      </c>
      <c r="M37" t="inlineStr">
        <is>
          <t>Western</t>
        </is>
      </c>
      <c r="N37" t="inlineStr">
        <is>
          <t>Single</t>
        </is>
      </c>
      <c r="P37" t="inlineStr">
        <is>
          <t>No</t>
        </is>
      </c>
      <c r="S37" t="inlineStr">
        <is>
          <t xml:space="preserve">During school/university  </t>
        </is>
      </c>
      <c r="U37" t="inlineStr">
        <is>
          <t>Yes</t>
        </is>
      </c>
      <c r="V37" t="inlineStr">
        <is>
          <t>Thalassemia minor or trait (carrier form)</t>
        </is>
      </c>
      <c r="W37" t="n">
        <v>0</v>
      </c>
      <c r="X37" t="n">
        <v>1</v>
      </c>
      <c r="Y37" t="n">
        <v>0</v>
      </c>
      <c r="Z37" t="n">
        <v>0</v>
      </c>
      <c r="AA37" t="inlineStr">
        <is>
          <t>Thalassemia minor or trait (carrier form)</t>
        </is>
      </c>
      <c r="AB37" t="n">
        <v>0</v>
      </c>
      <c r="AC37" t="n">
        <v>1</v>
      </c>
      <c r="AD37" t="n">
        <v>0</v>
      </c>
      <c r="AE37" t="n">
        <v>0</v>
      </c>
      <c r="AF37" t="inlineStr">
        <is>
          <t>I don’t know</t>
        </is>
      </c>
      <c r="AG37" t="n">
        <v>0</v>
      </c>
      <c r="AH37" t="n">
        <v>0</v>
      </c>
      <c r="AI37" t="n">
        <v>0</v>
      </c>
      <c r="AJ37" t="n">
        <v>1</v>
      </c>
      <c r="AK37" t="inlineStr">
        <is>
          <t>Yes</t>
        </is>
      </c>
      <c r="AL37" t="inlineStr">
        <is>
          <t xml:space="preserve">Cannot be cured   </t>
        </is>
      </c>
      <c r="AM37" t="inlineStr">
        <is>
          <t xml:space="preserve">Can be prevented </t>
        </is>
      </c>
      <c r="AN37" t="inlineStr">
        <is>
          <t xml:space="preserve">From generation to generation (hereditary)  </t>
        </is>
      </c>
      <c r="AO37" t="inlineStr">
        <is>
          <t>Healthy</t>
        </is>
      </c>
      <c r="AP37" t="inlineStr">
        <is>
          <t xml:space="preserve">Has a chance to be affected (e.g., 25%) </t>
        </is>
      </c>
      <c r="AQ37" t="inlineStr">
        <is>
          <t xml:space="preserve">Yes </t>
        </is>
      </c>
      <c r="AR37" t="inlineStr">
        <is>
          <t>Don’t know</t>
        </is>
      </c>
      <c r="AS37" t="inlineStr">
        <is>
          <t>Regular blood transfusions for life  Bone deformities</t>
        </is>
      </c>
      <c r="AT37" t="n">
        <v>1</v>
      </c>
      <c r="AU37" t="n">
        <v>0</v>
      </c>
      <c r="AV37" t="n">
        <v>0</v>
      </c>
      <c r="AW37" t="n">
        <v>0</v>
      </c>
      <c r="AX37" t="n">
        <v>0</v>
      </c>
      <c r="AY37" t="n">
        <v>0</v>
      </c>
      <c r="AZ37" t="n">
        <v>0</v>
      </c>
      <c r="BA37" t="n">
        <v>1</v>
      </c>
      <c r="BB37" t="inlineStr">
        <is>
          <t xml:space="preserve"> Get the partner tested before marriage   Get family members tested </t>
        </is>
      </c>
      <c r="BC37" t="n">
        <v>1</v>
      </c>
      <c r="BD37" t="n">
        <v>1</v>
      </c>
      <c r="BE37" t="n">
        <v>0</v>
      </c>
      <c r="BF37" t="n">
        <v>0</v>
      </c>
      <c r="BG37" t="inlineStr">
        <is>
          <t>Only found out after screening</t>
        </is>
      </c>
      <c r="BH37" t="inlineStr">
        <is>
          <t>Definitely not</t>
        </is>
      </c>
      <c r="BI37" t="inlineStr">
        <is>
          <t xml:space="preserve">No </t>
        </is>
      </c>
      <c r="BJ37" t="inlineStr">
        <is>
          <t xml:space="preserve">Very important </t>
        </is>
      </c>
      <c r="BK37" t="inlineStr">
        <is>
          <t>Other</t>
        </is>
      </c>
      <c r="BL37" t="inlineStr">
        <is>
          <t>Still not married. Will be screen before marriage</t>
        </is>
      </c>
      <c r="BM37" t="inlineStr">
        <is>
          <t>Other</t>
        </is>
      </c>
      <c r="BN37" t="inlineStr">
        <is>
          <t>Still not married. Will be screen before marriage</t>
        </is>
      </c>
      <c r="BP37" t="inlineStr">
        <is>
          <t xml:space="preserve">Agree </t>
        </is>
      </c>
      <c r="BQ37" t="inlineStr">
        <is>
          <t xml:space="preserve">Yes </t>
        </is>
      </c>
      <c r="BS37" t="inlineStr">
        <is>
          <t>Some</t>
        </is>
      </c>
      <c r="BT37" t="inlineStr">
        <is>
          <t>None</t>
        </is>
      </c>
      <c r="BU37" t="inlineStr">
        <is>
          <t>None</t>
        </is>
      </c>
      <c r="BV37" t="inlineStr">
        <is>
          <t>Concern about stigma or discrimination</t>
        </is>
      </c>
      <c r="BW37" t="n">
        <v>0</v>
      </c>
      <c r="BX37" t="n">
        <v>1</v>
      </c>
      <c r="BY37" t="n">
        <v>0</v>
      </c>
      <c r="BZ37" t="n">
        <v>0</v>
      </c>
      <c r="CA37" t="n">
        <v>0</v>
      </c>
      <c r="CB37" t="n">
        <v>0</v>
      </c>
      <c r="CD37" t="inlineStr">
        <is>
          <t xml:space="preserve">Somewhat easy </t>
        </is>
      </c>
      <c r="CE37" t="inlineStr">
        <is>
          <t xml:space="preserve"> Very important</t>
        </is>
      </c>
      <c r="CF37" t="n">
        <v>594475094</v>
      </c>
      <c r="CG37" t="inlineStr">
        <is>
          <t>9179d245-1fcd-4ffe-996e-10f9b09e8dcd</t>
        </is>
      </c>
      <c r="CH37" s="1" t="n">
        <v>45960.57273148148</v>
      </c>
      <c r="CK37" t="inlineStr">
        <is>
          <t>submitted_via_web</t>
        </is>
      </c>
      <c r="CM37" t="inlineStr">
        <is>
          <t>vteYUDpqfKnk39PHFZkvPS</t>
        </is>
      </c>
      <c r="CO37" t="inlineStr">
        <is>
          <t>uuid:9179d245-1fcd-4ffe-996e-10f9b09e8dcd</t>
        </is>
      </c>
      <c r="CP37" t="n">
        <v>36</v>
      </c>
      <c r="CQ37" t="n">
        <v>3</v>
      </c>
      <c r="CR37" t="n">
        <v>-0.3165225292847399</v>
      </c>
    </row>
    <row r="38">
      <c r="A38" s="1" t="n">
        <v>45960.78902388889</v>
      </c>
      <c r="B38" s="1" t="n">
        <v>45960.81653332176</v>
      </c>
      <c r="D38" t="inlineStr">
        <is>
          <t>63</t>
        </is>
      </c>
      <c r="E38" t="inlineStr">
        <is>
          <t xml:space="preserve">Male </t>
        </is>
      </c>
      <c r="F38" t="inlineStr">
        <is>
          <t>Sinhalese</t>
        </is>
      </c>
      <c r="H38" t="inlineStr">
        <is>
          <t>Buddhist</t>
        </is>
      </c>
      <c r="J38" t="inlineStr">
        <is>
          <t>Government sector</t>
        </is>
      </c>
      <c r="K38" t="inlineStr">
        <is>
          <t>51,000 – 100,000</t>
        </is>
      </c>
      <c r="L38" t="inlineStr">
        <is>
          <t xml:space="preserve">Graduate </t>
        </is>
      </c>
      <c r="M38" t="inlineStr">
        <is>
          <t>Western</t>
        </is>
      </c>
      <c r="N38" t="inlineStr">
        <is>
          <t xml:space="preserve">Married </t>
        </is>
      </c>
      <c r="O38" t="inlineStr">
        <is>
          <t>No children</t>
        </is>
      </c>
      <c r="P38" t="inlineStr">
        <is>
          <t xml:space="preserve"> Yes </t>
        </is>
      </c>
      <c r="Q38" t="inlineStr">
        <is>
          <t>Thalassemia</t>
        </is>
      </c>
      <c r="R38" s="1" t="n">
        <v>43527</v>
      </c>
      <c r="S38" t="inlineStr">
        <is>
          <t>During community screening</t>
        </is>
      </c>
      <c r="U38" t="inlineStr">
        <is>
          <t>Yes</t>
        </is>
      </c>
      <c r="V38" t="inlineStr">
        <is>
          <t>Thalassemia major (severe form)   Thalassemia minor or trait (carrier form)</t>
        </is>
      </c>
      <c r="W38" t="n">
        <v>1</v>
      </c>
      <c r="X38" t="n">
        <v>1</v>
      </c>
      <c r="Y38" t="n">
        <v>0</v>
      </c>
      <c r="Z38" t="n">
        <v>0</v>
      </c>
      <c r="AA38" t="inlineStr">
        <is>
          <t xml:space="preserve">Thalassemia major (severe form)  </t>
        </is>
      </c>
      <c r="AB38" t="n">
        <v>1</v>
      </c>
      <c r="AC38" t="n">
        <v>0</v>
      </c>
      <c r="AD38" t="n">
        <v>0</v>
      </c>
      <c r="AE38" t="n">
        <v>0</v>
      </c>
      <c r="AF38" t="inlineStr">
        <is>
          <t>Thalassemia minor or trait (carrier form)</t>
        </is>
      </c>
      <c r="AG38" t="n">
        <v>0</v>
      </c>
      <c r="AH38" t="n">
        <v>1</v>
      </c>
      <c r="AI38" t="n">
        <v>0</v>
      </c>
      <c r="AJ38" t="n">
        <v>0</v>
      </c>
      <c r="AK38" t="inlineStr">
        <is>
          <t>Yes</t>
        </is>
      </c>
      <c r="AL38" t="inlineStr">
        <is>
          <t>Don’t know</t>
        </is>
      </c>
      <c r="AM38" t="inlineStr">
        <is>
          <t>Not sure</t>
        </is>
      </c>
      <c r="AN38" t="inlineStr">
        <is>
          <t>Don’t know</t>
        </is>
      </c>
      <c r="AO38" t="inlineStr">
        <is>
          <t>Healthy</t>
        </is>
      </c>
      <c r="AP38" t="inlineStr">
        <is>
          <t>Don’t know</t>
        </is>
      </c>
      <c r="AQ38" t="inlineStr">
        <is>
          <t xml:space="preserve">Yes </t>
        </is>
      </c>
      <c r="AR38" t="inlineStr">
        <is>
          <t>Don’t know</t>
        </is>
      </c>
      <c r="AS38" t="inlineStr">
        <is>
          <t>Regular blood transfusions for life  Risk of infections from transfusions Fatigue</t>
        </is>
      </c>
      <c r="AT38" t="n">
        <v>1</v>
      </c>
      <c r="AU38" t="n">
        <v>0</v>
      </c>
      <c r="AV38" t="n">
        <v>0</v>
      </c>
      <c r="AW38" t="n">
        <v>0</v>
      </c>
      <c r="AX38" t="n">
        <v>1</v>
      </c>
      <c r="AY38" t="n">
        <v>0</v>
      </c>
      <c r="AZ38" t="n">
        <v>1</v>
      </c>
      <c r="BA38" t="n">
        <v>0</v>
      </c>
      <c r="BB38" t="inlineStr">
        <is>
          <t xml:space="preserve">Get family members tested </t>
        </is>
      </c>
      <c r="BC38" t="n">
        <v>0</v>
      </c>
      <c r="BD38" t="n">
        <v>1</v>
      </c>
      <c r="BE38" t="n">
        <v>0</v>
      </c>
      <c r="BF38" t="n">
        <v>0</v>
      </c>
      <c r="BG38" t="inlineStr">
        <is>
          <t xml:space="preserve">School  </t>
        </is>
      </c>
      <c r="BH38" t="inlineStr">
        <is>
          <t>Definitely not</t>
        </is>
      </c>
      <c r="BI38" t="inlineStr">
        <is>
          <t xml:space="preserve">No </t>
        </is>
      </c>
      <c r="BJ38" t="inlineStr">
        <is>
          <t xml:space="preserve">Very important </t>
        </is>
      </c>
      <c r="BK38" t="inlineStr">
        <is>
          <t xml:space="preserve"> Partner was screened after marriage </t>
        </is>
      </c>
      <c r="BP38" t="inlineStr">
        <is>
          <t xml:space="preserve">Agree </t>
        </is>
      </c>
      <c r="BQ38" t="inlineStr">
        <is>
          <t>No</t>
        </is>
      </c>
      <c r="BS38" t="inlineStr">
        <is>
          <t>Some</t>
        </is>
      </c>
      <c r="BT38" t="inlineStr">
        <is>
          <t>Don't know</t>
        </is>
      </c>
      <c r="BU38" t="inlineStr">
        <is>
          <t>Don't know</t>
        </is>
      </c>
      <c r="BV38" t="inlineStr">
        <is>
          <t>Concern about stigma or discrimination</t>
        </is>
      </c>
      <c r="BW38" t="n">
        <v>0</v>
      </c>
      <c r="BX38" t="n">
        <v>1</v>
      </c>
      <c r="BY38" t="n">
        <v>0</v>
      </c>
      <c r="BZ38" t="n">
        <v>0</v>
      </c>
      <c r="CA38" t="n">
        <v>0</v>
      </c>
      <c r="CB38" t="n">
        <v>0</v>
      </c>
      <c r="CD38" t="inlineStr">
        <is>
          <t xml:space="preserve">Somewhat easy </t>
        </is>
      </c>
      <c r="CE38" t="inlineStr">
        <is>
          <t xml:space="preserve"> Very important</t>
        </is>
      </c>
      <c r="CF38" t="n">
        <v>594494889</v>
      </c>
      <c r="CG38" t="inlineStr">
        <is>
          <t>18f9ba5b-bf4f-42bf-a9e9-0acc48c01636</t>
        </is>
      </c>
      <c r="CH38" s="1" t="n">
        <v>45960.58736111111</v>
      </c>
      <c r="CK38" t="inlineStr">
        <is>
          <t>submitted_via_web</t>
        </is>
      </c>
      <c r="CM38" t="inlineStr">
        <is>
          <t>vteYUDpqfKnk39PHFZkvPS</t>
        </is>
      </c>
      <c r="CO38" t="inlineStr">
        <is>
          <t>uuid:18f9ba5b-bf4f-42bf-a9e9-0acc48c01636</t>
        </is>
      </c>
      <c r="CP38" t="n">
        <v>37</v>
      </c>
      <c r="CQ38" t="n">
        <v>5</v>
      </c>
      <c r="CR38" t="n">
        <v>0.4641035858837596</v>
      </c>
    </row>
    <row r="39">
      <c r="A39" s="1" t="n">
        <v>45960.80187893518</v>
      </c>
      <c r="B39" s="1" t="n">
        <v>45960.83633741898</v>
      </c>
      <c r="D39" t="inlineStr">
        <is>
          <t>21</t>
        </is>
      </c>
      <c r="E39" t="inlineStr">
        <is>
          <t>Female</t>
        </is>
      </c>
      <c r="F39" t="inlineStr">
        <is>
          <t>Sinhalese</t>
        </is>
      </c>
      <c r="H39" t="inlineStr">
        <is>
          <t>Buddhist</t>
        </is>
      </c>
      <c r="J39" t="inlineStr">
        <is>
          <t>Private sector</t>
        </is>
      </c>
      <c r="K39" t="inlineStr">
        <is>
          <t>25,000 – 50,000</t>
        </is>
      </c>
      <c r="L39" t="inlineStr">
        <is>
          <t xml:space="preserve">Up to A/L </t>
        </is>
      </c>
      <c r="M39" t="inlineStr">
        <is>
          <t>Western</t>
        </is>
      </c>
      <c r="N39" t="inlineStr">
        <is>
          <t>Single</t>
        </is>
      </c>
      <c r="P39" t="inlineStr">
        <is>
          <t>No</t>
        </is>
      </c>
      <c r="S39" t="inlineStr">
        <is>
          <t xml:space="preserve">During school/university  </t>
        </is>
      </c>
      <c r="U39" t="inlineStr">
        <is>
          <t>Yes</t>
        </is>
      </c>
      <c r="V39" t="inlineStr">
        <is>
          <t xml:space="preserve">Thalassemia major (severe form)  </t>
        </is>
      </c>
      <c r="W39" t="n">
        <v>1</v>
      </c>
      <c r="X39" t="n">
        <v>0</v>
      </c>
      <c r="Y39" t="n">
        <v>0</v>
      </c>
      <c r="Z39" t="n">
        <v>0</v>
      </c>
      <c r="AA39" t="inlineStr">
        <is>
          <t>Thalassemia major (severe form)   Thalassemia minor or trait (carrier form)</t>
        </is>
      </c>
      <c r="AB39" t="n">
        <v>1</v>
      </c>
      <c r="AC39" t="n">
        <v>1</v>
      </c>
      <c r="AD39" t="n">
        <v>0</v>
      </c>
      <c r="AE39" t="n">
        <v>0</v>
      </c>
      <c r="AF39" t="inlineStr">
        <is>
          <t>Thalassemia minor or trait (carrier form)</t>
        </is>
      </c>
      <c r="AG39" t="n">
        <v>0</v>
      </c>
      <c r="AH39" t="n">
        <v>1</v>
      </c>
      <c r="AI39" t="n">
        <v>0</v>
      </c>
      <c r="AJ39" t="n">
        <v>0</v>
      </c>
      <c r="AK39" t="inlineStr">
        <is>
          <t>Yes</t>
        </is>
      </c>
      <c r="AL39" t="inlineStr">
        <is>
          <t xml:space="preserve">Cannot be cured   </t>
        </is>
      </c>
      <c r="AM39" t="inlineStr">
        <is>
          <t xml:space="preserve">Can be prevented </t>
        </is>
      </c>
      <c r="AN39" t="inlineStr">
        <is>
          <t xml:space="preserve">From generation to generation (hereditary)  </t>
        </is>
      </c>
      <c r="AO39" t="inlineStr">
        <is>
          <t>Healthy</t>
        </is>
      </c>
      <c r="AP39" t="inlineStr">
        <is>
          <t xml:space="preserve">Has a chance to be affected (e.g., 25%) </t>
        </is>
      </c>
      <c r="AQ39" t="inlineStr">
        <is>
          <t xml:space="preserve">Yes </t>
        </is>
      </c>
      <c r="AR39" t="inlineStr">
        <is>
          <t>Don’t know</t>
        </is>
      </c>
      <c r="AS39" t="inlineStr">
        <is>
          <t>Regular blood transfusions for life  Iron overload affecting heart and liver  Delayed growth and puberty Frequent nosebleeds Fatigue Bone deformities</t>
        </is>
      </c>
      <c r="AT39" t="n">
        <v>1</v>
      </c>
      <c r="AU39" t="n">
        <v>1</v>
      </c>
      <c r="AV39" t="n">
        <v>1</v>
      </c>
      <c r="AW39" t="n">
        <v>0</v>
      </c>
      <c r="AX39" t="n">
        <v>0</v>
      </c>
      <c r="AY39" t="n">
        <v>1</v>
      </c>
      <c r="AZ39" t="n">
        <v>1</v>
      </c>
      <c r="BA39" t="n">
        <v>1</v>
      </c>
      <c r="BB39" t="inlineStr">
        <is>
          <t xml:space="preserve"> Get the partner tested before marriage   Get family members tested </t>
        </is>
      </c>
      <c r="BC39" t="n">
        <v>1</v>
      </c>
      <c r="BD39" t="n">
        <v>1</v>
      </c>
      <c r="BE39" t="n">
        <v>0</v>
      </c>
      <c r="BF39" t="n">
        <v>0</v>
      </c>
      <c r="BG39" t="inlineStr">
        <is>
          <t xml:space="preserve">School  </t>
        </is>
      </c>
      <c r="BH39" t="inlineStr">
        <is>
          <t>Definitely not</t>
        </is>
      </c>
      <c r="BI39" t="inlineStr">
        <is>
          <t xml:space="preserve">No </t>
        </is>
      </c>
      <c r="BJ39" t="inlineStr">
        <is>
          <t xml:space="preserve">Very important </t>
        </is>
      </c>
      <c r="BK39" t="inlineStr">
        <is>
          <t>Other</t>
        </is>
      </c>
      <c r="BL39" t="inlineStr">
        <is>
          <t>Still not married. Will be screen before marriage</t>
        </is>
      </c>
      <c r="BM39" t="inlineStr">
        <is>
          <t>Other</t>
        </is>
      </c>
      <c r="BN39" t="inlineStr">
        <is>
          <t>Still not married. Will be screen before marriage</t>
        </is>
      </c>
      <c r="BP39" t="inlineStr">
        <is>
          <t xml:space="preserve">Agree </t>
        </is>
      </c>
      <c r="BQ39" t="inlineStr">
        <is>
          <t xml:space="preserve">Yes </t>
        </is>
      </c>
      <c r="BS39" t="inlineStr">
        <is>
          <t>All</t>
        </is>
      </c>
      <c r="BV39" t="inlineStr">
        <is>
          <t>Concern about stigma or discrimination Fear of result</t>
        </is>
      </c>
      <c r="BW39" t="n">
        <v>0</v>
      </c>
      <c r="BX39" t="n">
        <v>1</v>
      </c>
      <c r="BY39" t="n">
        <v>1</v>
      </c>
      <c r="BZ39" t="n">
        <v>0</v>
      </c>
      <c r="CA39" t="n">
        <v>0</v>
      </c>
      <c r="CB39" t="n">
        <v>0</v>
      </c>
      <c r="CD39" t="inlineStr">
        <is>
          <t xml:space="preserve">Somewhat easy </t>
        </is>
      </c>
      <c r="CE39" t="inlineStr">
        <is>
          <t xml:space="preserve"> Very important</t>
        </is>
      </c>
      <c r="CF39" t="n">
        <v>594522764</v>
      </c>
      <c r="CG39" t="inlineStr">
        <is>
          <t>2af23dee-0edc-46de-8c1e-115722c78bee</t>
        </is>
      </c>
      <c r="CH39" s="1" t="n">
        <v>45960.6071875</v>
      </c>
      <c r="CK39" t="inlineStr">
        <is>
          <t>submitted_via_web</t>
        </is>
      </c>
      <c r="CM39" t="inlineStr">
        <is>
          <t>vteYUDpqfKnk39PHFZkvPS</t>
        </is>
      </c>
      <c r="CO39" t="inlineStr">
        <is>
          <t>uuid:2af23dee-0edc-46de-8c1e-115722c78bee</t>
        </is>
      </c>
      <c r="CP39" t="n">
        <v>38</v>
      </c>
      <c r="CQ39" t="n">
        <v>7</v>
      </c>
      <c r="CR39" t="n">
        <v>1.244729701052259</v>
      </c>
    </row>
    <row r="40">
      <c r="A40" s="1" t="n">
        <v>45960.83633994213</v>
      </c>
      <c r="B40" s="1" t="n">
        <v>45960.847269375</v>
      </c>
      <c r="D40" t="inlineStr">
        <is>
          <t>22</t>
        </is>
      </c>
      <c r="E40" t="inlineStr">
        <is>
          <t xml:space="preserve">Male </t>
        </is>
      </c>
      <c r="F40" t="inlineStr">
        <is>
          <t>Sinhalese</t>
        </is>
      </c>
      <c r="H40" t="inlineStr">
        <is>
          <t>Buddhist</t>
        </is>
      </c>
      <c r="J40" t="inlineStr">
        <is>
          <t>Not employed</t>
        </is>
      </c>
      <c r="L40" t="inlineStr">
        <is>
          <t xml:space="preserve">Up to A/L </t>
        </is>
      </c>
      <c r="M40" t="inlineStr">
        <is>
          <t>Western</t>
        </is>
      </c>
      <c r="N40" t="inlineStr">
        <is>
          <t>Single</t>
        </is>
      </c>
      <c r="S40" t="inlineStr">
        <is>
          <t xml:space="preserve">During school/university  </t>
        </is>
      </c>
      <c r="U40" t="inlineStr">
        <is>
          <t xml:space="preserve">No </t>
        </is>
      </c>
      <c r="V40" t="inlineStr">
        <is>
          <t>Thalassemia major (severe form)   Thalassemia minor or trait (carrier form)</t>
        </is>
      </c>
      <c r="W40" t="n">
        <v>1</v>
      </c>
      <c r="X40" t="n">
        <v>1</v>
      </c>
      <c r="Y40" t="n">
        <v>0</v>
      </c>
      <c r="Z40" t="n">
        <v>0</v>
      </c>
      <c r="AF40" t="inlineStr">
        <is>
          <t>Thalassemia minor or trait (carrier form)</t>
        </is>
      </c>
      <c r="AG40" t="n">
        <v>0</v>
      </c>
      <c r="AH40" t="n">
        <v>1</v>
      </c>
      <c r="AI40" t="n">
        <v>0</v>
      </c>
      <c r="AJ40" t="n">
        <v>0</v>
      </c>
      <c r="AK40" t="inlineStr">
        <is>
          <t>No</t>
        </is>
      </c>
      <c r="AL40" t="inlineStr">
        <is>
          <t>Don’t know</t>
        </is>
      </c>
      <c r="AM40" t="inlineStr">
        <is>
          <t xml:space="preserve">Can be prevented </t>
        </is>
      </c>
      <c r="AN40" t="inlineStr">
        <is>
          <t xml:space="preserve">From generation to generation (hereditary)  </t>
        </is>
      </c>
      <c r="AO40" t="inlineStr">
        <is>
          <t>Healthy</t>
        </is>
      </c>
      <c r="AP40" t="inlineStr">
        <is>
          <t xml:space="preserve">Has a chance to be affected (e.g., 25%) </t>
        </is>
      </c>
      <c r="AQ40" t="inlineStr">
        <is>
          <t xml:space="preserve">Yes </t>
        </is>
      </c>
      <c r="AR40" t="inlineStr">
        <is>
          <t>Don’t know</t>
        </is>
      </c>
      <c r="AS40" t="inlineStr">
        <is>
          <t xml:space="preserve">Regular blood transfusions for life </t>
        </is>
      </c>
      <c r="AT40" t="n">
        <v>1</v>
      </c>
      <c r="AU40" t="n">
        <v>0</v>
      </c>
      <c r="AV40" t="n">
        <v>0</v>
      </c>
      <c r="AW40" t="n">
        <v>0</v>
      </c>
      <c r="AX40" t="n">
        <v>0</v>
      </c>
      <c r="AY40" t="n">
        <v>0</v>
      </c>
      <c r="AZ40" t="n">
        <v>0</v>
      </c>
      <c r="BA40" t="n">
        <v>0</v>
      </c>
      <c r="BB40" t="inlineStr">
        <is>
          <t xml:space="preserve"> Get the partner tested before marriage   Get family members tested </t>
        </is>
      </c>
      <c r="BC40" t="n">
        <v>1</v>
      </c>
      <c r="BD40" t="n">
        <v>1</v>
      </c>
      <c r="BE40" t="n">
        <v>0</v>
      </c>
      <c r="BF40" t="n">
        <v>0</v>
      </c>
      <c r="BG40" t="inlineStr">
        <is>
          <t xml:space="preserve">School  </t>
        </is>
      </c>
      <c r="BH40" t="inlineStr">
        <is>
          <t>Definitely not</t>
        </is>
      </c>
      <c r="BI40" t="inlineStr">
        <is>
          <t xml:space="preserve">No </t>
        </is>
      </c>
      <c r="BJ40" t="inlineStr">
        <is>
          <t xml:space="preserve">Very important </t>
        </is>
      </c>
      <c r="BK40" t="inlineStr">
        <is>
          <t>Other</t>
        </is>
      </c>
      <c r="BL40" t="inlineStr">
        <is>
          <t>Still not married. Will be screen before marriage</t>
        </is>
      </c>
      <c r="BM40" t="inlineStr">
        <is>
          <t>Other</t>
        </is>
      </c>
      <c r="BN40" t="inlineStr">
        <is>
          <t>Still not married. Will be screen before marriage</t>
        </is>
      </c>
      <c r="BP40" t="inlineStr">
        <is>
          <t xml:space="preserve">Agree </t>
        </is>
      </c>
      <c r="BQ40" t="inlineStr">
        <is>
          <t xml:space="preserve">Yes </t>
        </is>
      </c>
      <c r="BS40" t="inlineStr">
        <is>
          <t>Some</t>
        </is>
      </c>
      <c r="BT40" t="inlineStr">
        <is>
          <t>None</t>
        </is>
      </c>
      <c r="BU40" t="inlineStr">
        <is>
          <t>None</t>
        </is>
      </c>
      <c r="BV40" t="inlineStr">
        <is>
          <t>Concern about stigma or discrimination</t>
        </is>
      </c>
      <c r="BW40" t="n">
        <v>0</v>
      </c>
      <c r="BX40" t="n">
        <v>1</v>
      </c>
      <c r="BY40" t="n">
        <v>0</v>
      </c>
      <c r="BZ40" t="n">
        <v>0</v>
      </c>
      <c r="CA40" t="n">
        <v>0</v>
      </c>
      <c r="CB40" t="n">
        <v>0</v>
      </c>
      <c r="CD40" t="inlineStr">
        <is>
          <t xml:space="preserve">Somewhat easy </t>
        </is>
      </c>
      <c r="CE40" t="inlineStr">
        <is>
          <t xml:space="preserve"> Very important</t>
        </is>
      </c>
      <c r="CF40" t="n">
        <v>594537396</v>
      </c>
      <c r="CG40" t="inlineStr">
        <is>
          <t>2d02854c-1dc7-4254-9b66-6801f37db294</t>
        </is>
      </c>
      <c r="CH40" s="1" t="n">
        <v>45960.61811342592</v>
      </c>
      <c r="CK40" t="inlineStr">
        <is>
          <t>submitted_via_web</t>
        </is>
      </c>
      <c r="CM40" t="inlineStr">
        <is>
          <t>vteYUDpqfKnk39PHFZkvPS</t>
        </is>
      </c>
      <c r="CO40" t="inlineStr">
        <is>
          <t>uuid:2d02854c-1dc7-4254-9b66-6801f37db294</t>
        </is>
      </c>
      <c r="CP40" t="n">
        <v>39</v>
      </c>
      <c r="CQ40" t="n">
        <v>3</v>
      </c>
      <c r="CR40" t="n">
        <v>-0.3165225292847399</v>
      </c>
    </row>
    <row r="41">
      <c r="A41" s="1" t="n">
        <v>45960.81653376157</v>
      </c>
      <c r="B41" s="1" t="n">
        <v>45961.60542072917</v>
      </c>
      <c r="D41" t="inlineStr">
        <is>
          <t>43</t>
        </is>
      </c>
      <c r="E41" t="inlineStr">
        <is>
          <t>Female</t>
        </is>
      </c>
      <c r="F41" t="inlineStr">
        <is>
          <t>Sinhalese</t>
        </is>
      </c>
      <c r="H41" t="inlineStr">
        <is>
          <t>Buddhist</t>
        </is>
      </c>
      <c r="J41" t="inlineStr">
        <is>
          <t>Private sector</t>
        </is>
      </c>
      <c r="K41" t="inlineStr">
        <is>
          <t>25,000 – 50,000</t>
        </is>
      </c>
      <c r="L41" t="inlineStr">
        <is>
          <t xml:space="preserve">Up to A/L </t>
        </is>
      </c>
      <c r="M41" t="inlineStr">
        <is>
          <t>Western</t>
        </is>
      </c>
      <c r="N41" t="inlineStr">
        <is>
          <t xml:space="preserve">Married </t>
        </is>
      </c>
      <c r="O41" t="inlineStr">
        <is>
          <t>No children</t>
        </is>
      </c>
      <c r="P41" t="inlineStr">
        <is>
          <t>No</t>
        </is>
      </c>
      <c r="R41" s="1" t="n">
        <v>43527</v>
      </c>
      <c r="S41" t="inlineStr">
        <is>
          <t>Referral by a doctor</t>
        </is>
      </c>
      <c r="U41" t="inlineStr">
        <is>
          <t>Yes</t>
        </is>
      </c>
      <c r="V41" t="inlineStr">
        <is>
          <t>Thalassemia major (severe form)   Thalassemia minor or trait (carrier form)</t>
        </is>
      </c>
      <c r="W41" t="n">
        <v>1</v>
      </c>
      <c r="X41" t="n">
        <v>1</v>
      </c>
      <c r="Y41" t="n">
        <v>0</v>
      </c>
      <c r="Z41" t="n">
        <v>0</v>
      </c>
      <c r="AA41" t="inlineStr">
        <is>
          <t xml:space="preserve">Thalassemia major (severe form)  </t>
        </is>
      </c>
      <c r="AB41" t="n">
        <v>1</v>
      </c>
      <c r="AC41" t="n">
        <v>0</v>
      </c>
      <c r="AD41" t="n">
        <v>0</v>
      </c>
      <c r="AE41" t="n">
        <v>0</v>
      </c>
      <c r="AF41" t="inlineStr">
        <is>
          <t>Thalassemia minor or trait (carrier form)</t>
        </is>
      </c>
      <c r="AG41" t="n">
        <v>0</v>
      </c>
      <c r="AH41" t="n">
        <v>1</v>
      </c>
      <c r="AI41" t="n">
        <v>0</v>
      </c>
      <c r="AJ41" t="n">
        <v>0</v>
      </c>
      <c r="AK41" t="inlineStr">
        <is>
          <t>Yes</t>
        </is>
      </c>
      <c r="AL41" t="inlineStr">
        <is>
          <t xml:space="preserve">Cannot be cured   </t>
        </is>
      </c>
      <c r="AM41" t="inlineStr">
        <is>
          <t xml:space="preserve">Can be prevented </t>
        </is>
      </c>
      <c r="AN41" t="inlineStr">
        <is>
          <t xml:space="preserve">From generation to generation (hereditary)  </t>
        </is>
      </c>
      <c r="AO41" t="inlineStr">
        <is>
          <t>Don’t know</t>
        </is>
      </c>
      <c r="AP41" t="inlineStr">
        <is>
          <t xml:space="preserve">Has a chance to be affected (e.g., 25%) </t>
        </is>
      </c>
      <c r="AQ41" t="inlineStr">
        <is>
          <t>No</t>
        </is>
      </c>
      <c r="AR41" t="inlineStr">
        <is>
          <t>Don’t know</t>
        </is>
      </c>
      <c r="AS41" t="inlineStr">
        <is>
          <t>Regular blood transfusions for life  Fatigue</t>
        </is>
      </c>
      <c r="AT41" t="n">
        <v>1</v>
      </c>
      <c r="AU41" t="n">
        <v>0</v>
      </c>
      <c r="AV41" t="n">
        <v>0</v>
      </c>
      <c r="AW41" t="n">
        <v>0</v>
      </c>
      <c r="AX41" t="n">
        <v>0</v>
      </c>
      <c r="AY41" t="n">
        <v>0</v>
      </c>
      <c r="AZ41" t="n">
        <v>1</v>
      </c>
      <c r="BA41" t="n">
        <v>0</v>
      </c>
      <c r="BB41" t="inlineStr">
        <is>
          <t xml:space="preserve"> Get the partner tested before marriage   Get family members tested </t>
        </is>
      </c>
      <c r="BC41" t="n">
        <v>1</v>
      </c>
      <c r="BD41" t="n">
        <v>1</v>
      </c>
      <c r="BE41" t="n">
        <v>0</v>
      </c>
      <c r="BF41" t="n">
        <v>0</v>
      </c>
      <c r="BG41" t="inlineStr">
        <is>
          <t xml:space="preserve">Healthcare staff (doctors and nurses) </t>
        </is>
      </c>
      <c r="BH41" t="inlineStr">
        <is>
          <t xml:space="preserve">Not sure </t>
        </is>
      </c>
      <c r="BI41" t="inlineStr">
        <is>
          <t xml:space="preserve">No </t>
        </is>
      </c>
      <c r="BJ41" t="inlineStr">
        <is>
          <t xml:space="preserve">Very important </t>
        </is>
      </c>
      <c r="BK41" t="inlineStr">
        <is>
          <t>Partner was screened before marriage</t>
        </is>
      </c>
      <c r="BP41" t="inlineStr">
        <is>
          <t xml:space="preserve">Agree </t>
        </is>
      </c>
      <c r="BQ41" t="inlineStr">
        <is>
          <t xml:space="preserve">Yes </t>
        </is>
      </c>
      <c r="BS41" t="inlineStr">
        <is>
          <t>Some</t>
        </is>
      </c>
      <c r="BT41" t="inlineStr">
        <is>
          <t>Don't know</t>
        </is>
      </c>
      <c r="BU41" t="inlineStr">
        <is>
          <t>Don't know</t>
        </is>
      </c>
      <c r="BV41" t="inlineStr">
        <is>
          <t>Perception that screening was unnecessary</t>
        </is>
      </c>
      <c r="BW41" t="n">
        <v>0</v>
      </c>
      <c r="BX41" t="n">
        <v>0</v>
      </c>
      <c r="BY41" t="n">
        <v>0</v>
      </c>
      <c r="BZ41" t="n">
        <v>1</v>
      </c>
      <c r="CA41" t="n">
        <v>0</v>
      </c>
      <c r="CB41" t="n">
        <v>0</v>
      </c>
      <c r="CD41" t="inlineStr">
        <is>
          <t xml:space="preserve">Somewhat easy </t>
        </is>
      </c>
      <c r="CE41" t="inlineStr">
        <is>
          <t xml:space="preserve">Important </t>
        </is>
      </c>
      <c r="CF41" t="n">
        <v>595092811</v>
      </c>
      <c r="CG41" t="inlineStr">
        <is>
          <t>40ae3843-59ac-4914-86be-d8c344253060</t>
        </is>
      </c>
      <c r="CH41" s="1" t="n">
        <v>45961.37627314815</v>
      </c>
      <c r="CK41" t="inlineStr">
        <is>
          <t>submitted_via_web</t>
        </is>
      </c>
      <c r="CM41" t="inlineStr">
        <is>
          <t>vteYUDpqfKnk39PHFZkvPS</t>
        </is>
      </c>
      <c r="CO41" t="inlineStr">
        <is>
          <t>uuid:40ae3843-59ac-4914-86be-d8c344253060</t>
        </is>
      </c>
      <c r="CP41" t="n">
        <v>40</v>
      </c>
      <c r="CQ41" t="n">
        <v>4</v>
      </c>
      <c r="CR41" t="n">
        <v>0.07379052829950983</v>
      </c>
    </row>
    <row r="42">
      <c r="A42" s="1" t="n">
        <v>45961.60542114583</v>
      </c>
      <c r="B42" s="1" t="n">
        <v>45961.62733179398</v>
      </c>
      <c r="D42" t="inlineStr">
        <is>
          <t>56</t>
        </is>
      </c>
      <c r="E42" t="inlineStr">
        <is>
          <t>Female</t>
        </is>
      </c>
      <c r="F42" t="inlineStr">
        <is>
          <t>Sinhalese</t>
        </is>
      </c>
      <c r="H42" t="inlineStr">
        <is>
          <t>Buddhist</t>
        </is>
      </c>
      <c r="J42" t="inlineStr">
        <is>
          <t>Not employed</t>
        </is>
      </c>
      <c r="L42" t="inlineStr">
        <is>
          <t xml:space="preserve">Up to A/L </t>
        </is>
      </c>
      <c r="M42" t="inlineStr">
        <is>
          <t>Western</t>
        </is>
      </c>
      <c r="N42" t="inlineStr">
        <is>
          <t xml:space="preserve">Married </t>
        </is>
      </c>
      <c r="O42" t="inlineStr">
        <is>
          <t>No children</t>
        </is>
      </c>
      <c r="P42" t="inlineStr">
        <is>
          <t xml:space="preserve"> Yes </t>
        </is>
      </c>
      <c r="Q42" t="inlineStr">
        <is>
          <t>Thalassemia trait</t>
        </is>
      </c>
      <c r="R42" s="1" t="n">
        <v>43527</v>
      </c>
      <c r="S42" t="inlineStr">
        <is>
          <t>During community screening</t>
        </is>
      </c>
      <c r="U42" t="inlineStr">
        <is>
          <t>Yes</t>
        </is>
      </c>
      <c r="V42" t="inlineStr">
        <is>
          <t>Thalassemia major (severe form)   Thalassemia minor or trait (carrier form)</t>
        </is>
      </c>
      <c r="W42" t="n">
        <v>1</v>
      </c>
      <c r="X42" t="n">
        <v>1</v>
      </c>
      <c r="Y42" t="n">
        <v>0</v>
      </c>
      <c r="Z42" t="n">
        <v>0</v>
      </c>
      <c r="AA42" t="inlineStr">
        <is>
          <t xml:space="preserve">Thalassemia major (severe form)  </t>
        </is>
      </c>
      <c r="AB42" t="n">
        <v>1</v>
      </c>
      <c r="AC42" t="n">
        <v>0</v>
      </c>
      <c r="AD42" t="n">
        <v>0</v>
      </c>
      <c r="AE42" t="n">
        <v>0</v>
      </c>
      <c r="AF42" t="inlineStr">
        <is>
          <t>Thalassemia minor or trait (carrier form)</t>
        </is>
      </c>
      <c r="AG42" t="n">
        <v>0</v>
      </c>
      <c r="AH42" t="n">
        <v>1</v>
      </c>
      <c r="AI42" t="n">
        <v>0</v>
      </c>
      <c r="AJ42" t="n">
        <v>0</v>
      </c>
      <c r="AK42" t="inlineStr">
        <is>
          <t>Yes</t>
        </is>
      </c>
      <c r="AL42" t="inlineStr">
        <is>
          <t xml:space="preserve">Cannot be cured   </t>
        </is>
      </c>
      <c r="AM42" t="inlineStr">
        <is>
          <t xml:space="preserve">Can be prevented </t>
        </is>
      </c>
      <c r="AN42" t="inlineStr">
        <is>
          <t xml:space="preserve">From generation to generation (hereditary)  </t>
        </is>
      </c>
      <c r="AO42" t="inlineStr">
        <is>
          <t>Healthy</t>
        </is>
      </c>
      <c r="AP42" t="inlineStr">
        <is>
          <t xml:space="preserve">Has a chance to be affected (e.g., 25%) </t>
        </is>
      </c>
      <c r="AQ42" t="inlineStr">
        <is>
          <t>No</t>
        </is>
      </c>
      <c r="AR42" t="inlineStr">
        <is>
          <t>Don’t know</t>
        </is>
      </c>
      <c r="AS42" t="inlineStr">
        <is>
          <t>Regular blood transfusions for life  Iron overload affecting heart and liver  Delayed growth and puberty Risk of infections from transfusions Frequent nosebleeds Fatigue</t>
        </is>
      </c>
      <c r="AT42" t="n">
        <v>1</v>
      </c>
      <c r="AU42" t="n">
        <v>1</v>
      </c>
      <c r="AV42" t="n">
        <v>1</v>
      </c>
      <c r="AW42" t="n">
        <v>0</v>
      </c>
      <c r="AX42" t="n">
        <v>1</v>
      </c>
      <c r="AY42" t="n">
        <v>1</v>
      </c>
      <c r="AZ42" t="n">
        <v>1</v>
      </c>
      <c r="BA42" t="n">
        <v>0</v>
      </c>
      <c r="BB42" t="inlineStr">
        <is>
          <t xml:space="preserve"> Get the partner tested before marriage   Get family members tested </t>
        </is>
      </c>
      <c r="BC42" t="n">
        <v>1</v>
      </c>
      <c r="BD42" t="n">
        <v>1</v>
      </c>
      <c r="BE42" t="n">
        <v>0</v>
      </c>
      <c r="BF42" t="n">
        <v>0</v>
      </c>
      <c r="BG42" t="inlineStr">
        <is>
          <t>Only found out after screening</t>
        </is>
      </c>
      <c r="BH42" t="inlineStr">
        <is>
          <t xml:space="preserve">Not sure </t>
        </is>
      </c>
      <c r="BI42" t="inlineStr">
        <is>
          <t xml:space="preserve">No </t>
        </is>
      </c>
      <c r="BJ42" t="inlineStr">
        <is>
          <t xml:space="preserve">Very important </t>
        </is>
      </c>
      <c r="BK42" t="inlineStr">
        <is>
          <t xml:space="preserve">Did not screen partner </t>
        </is>
      </c>
      <c r="BM42" t="inlineStr">
        <is>
          <t xml:space="preserve">Did not think it was necessary </t>
        </is>
      </c>
      <c r="BP42" t="inlineStr">
        <is>
          <t xml:space="preserve">Agree </t>
        </is>
      </c>
      <c r="BQ42" t="inlineStr">
        <is>
          <t xml:space="preserve">Yes </t>
        </is>
      </c>
      <c r="BS42" t="inlineStr">
        <is>
          <t>None</t>
        </is>
      </c>
      <c r="BT42" t="inlineStr">
        <is>
          <t>Don't know</t>
        </is>
      </c>
      <c r="BU42" t="inlineStr">
        <is>
          <t>Don't know</t>
        </is>
      </c>
      <c r="BV42" t="inlineStr">
        <is>
          <t>Cost or access issues</t>
        </is>
      </c>
      <c r="BW42" t="n">
        <v>0</v>
      </c>
      <c r="BX42" t="n">
        <v>0</v>
      </c>
      <c r="BY42" t="n">
        <v>0</v>
      </c>
      <c r="BZ42" t="n">
        <v>0</v>
      </c>
      <c r="CA42" t="n">
        <v>1</v>
      </c>
      <c r="CB42" t="n">
        <v>0</v>
      </c>
      <c r="CD42" t="inlineStr">
        <is>
          <t>Not sure</t>
        </is>
      </c>
      <c r="CE42" t="inlineStr">
        <is>
          <t xml:space="preserve">Important </t>
        </is>
      </c>
      <c r="CF42" t="n">
        <v>595117622</v>
      </c>
      <c r="CG42" t="inlineStr">
        <is>
          <t>251c6ff1-0789-4508-aa7c-8439e0082a6c</t>
        </is>
      </c>
      <c r="CH42" s="1" t="n">
        <v>45961.3981712963</v>
      </c>
      <c r="CK42" t="inlineStr">
        <is>
          <t>submitted_via_web</t>
        </is>
      </c>
      <c r="CM42" t="inlineStr">
        <is>
          <t>vteYUDpqfKnk39PHFZkvPS</t>
        </is>
      </c>
      <c r="CO42" t="inlineStr">
        <is>
          <t>uuid:251c6ff1-0789-4508-aa7c-8439e0082a6c</t>
        </is>
      </c>
      <c r="CP42" t="n">
        <v>41</v>
      </c>
      <c r="CQ42" t="n">
        <v>8</v>
      </c>
      <c r="CR42" t="n">
        <v>1.635042758636509</v>
      </c>
    </row>
    <row r="43">
      <c r="A43" s="1" t="n">
        <v>45961.62733196759</v>
      </c>
      <c r="B43" s="1" t="n">
        <v>45961.64986376157</v>
      </c>
      <c r="D43" t="inlineStr">
        <is>
          <t>24</t>
        </is>
      </c>
      <c r="E43" t="inlineStr">
        <is>
          <t xml:space="preserve">Male </t>
        </is>
      </c>
      <c r="F43" t="inlineStr">
        <is>
          <t>Sinhalese</t>
        </is>
      </c>
      <c r="H43" t="inlineStr">
        <is>
          <t>Buddhist</t>
        </is>
      </c>
      <c r="J43" t="inlineStr">
        <is>
          <t>Not employed</t>
        </is>
      </c>
      <c r="L43" t="inlineStr">
        <is>
          <t xml:space="preserve">Undergraduate </t>
        </is>
      </c>
      <c r="M43" t="inlineStr">
        <is>
          <t>Western</t>
        </is>
      </c>
      <c r="N43" t="inlineStr">
        <is>
          <t>Single</t>
        </is>
      </c>
      <c r="P43" t="inlineStr">
        <is>
          <t xml:space="preserve"> Yes </t>
        </is>
      </c>
      <c r="Q43" t="inlineStr">
        <is>
          <t>Thalassemia trait</t>
        </is>
      </c>
      <c r="R43" s="1" t="n">
        <v>43524</v>
      </c>
      <c r="S43" t="inlineStr">
        <is>
          <t xml:space="preserve">During school/university  </t>
        </is>
      </c>
      <c r="U43" t="inlineStr">
        <is>
          <t>Yes</t>
        </is>
      </c>
      <c r="V43" t="inlineStr">
        <is>
          <t>Thalassemia major (severe form)   Thalassemia minor or trait (carrier form)</t>
        </is>
      </c>
      <c r="W43" t="n">
        <v>1</v>
      </c>
      <c r="X43" t="n">
        <v>1</v>
      </c>
      <c r="Y43" t="n">
        <v>0</v>
      </c>
      <c r="Z43" t="n">
        <v>0</v>
      </c>
      <c r="AA43" t="inlineStr">
        <is>
          <t xml:space="preserve">Thalassemia major (severe form)  </t>
        </is>
      </c>
      <c r="AB43" t="n">
        <v>1</v>
      </c>
      <c r="AC43" t="n">
        <v>0</v>
      </c>
      <c r="AD43" t="n">
        <v>0</v>
      </c>
      <c r="AE43" t="n">
        <v>0</v>
      </c>
      <c r="AF43" t="inlineStr">
        <is>
          <t>Thalassemia minor or trait (carrier form)</t>
        </is>
      </c>
      <c r="AG43" t="n">
        <v>0</v>
      </c>
      <c r="AH43" t="n">
        <v>1</v>
      </c>
      <c r="AI43" t="n">
        <v>0</v>
      </c>
      <c r="AJ43" t="n">
        <v>0</v>
      </c>
      <c r="AK43" t="inlineStr">
        <is>
          <t>Yes</t>
        </is>
      </c>
      <c r="AL43" t="inlineStr">
        <is>
          <t xml:space="preserve">Cannot be cured   </t>
        </is>
      </c>
      <c r="AM43" t="inlineStr">
        <is>
          <t xml:space="preserve">Can be prevented </t>
        </is>
      </c>
      <c r="AN43" t="inlineStr">
        <is>
          <t xml:space="preserve">From generation to generation (hereditary)  </t>
        </is>
      </c>
      <c r="AO43" t="inlineStr">
        <is>
          <t>Healthy</t>
        </is>
      </c>
      <c r="AP43" t="inlineStr">
        <is>
          <t>Always affected by thalassemia</t>
        </is>
      </c>
      <c r="AQ43" t="inlineStr">
        <is>
          <t>No</t>
        </is>
      </c>
      <c r="AR43" t="inlineStr">
        <is>
          <t>Don’t know</t>
        </is>
      </c>
      <c r="AS43" t="inlineStr">
        <is>
          <t>Regular blood transfusions for life  Delayed growth and puberty Risk of diabetes, infertility, and hormonal issues  Risk of infections from transfusions Frequent nosebleeds Fatigue</t>
        </is>
      </c>
      <c r="AT43" t="n">
        <v>1</v>
      </c>
      <c r="AU43" t="n">
        <v>0</v>
      </c>
      <c r="AV43" t="n">
        <v>1</v>
      </c>
      <c r="AW43" t="n">
        <v>1</v>
      </c>
      <c r="AX43" t="n">
        <v>1</v>
      </c>
      <c r="AY43" t="n">
        <v>1</v>
      </c>
      <c r="AZ43" t="n">
        <v>1</v>
      </c>
      <c r="BA43" t="n">
        <v>0</v>
      </c>
      <c r="BB43" t="inlineStr">
        <is>
          <t xml:space="preserve">Get family members tested </t>
        </is>
      </c>
      <c r="BC43" t="n">
        <v>0</v>
      </c>
      <c r="BD43" t="n">
        <v>1</v>
      </c>
      <c r="BE43" t="n">
        <v>0</v>
      </c>
      <c r="BF43" t="n">
        <v>0</v>
      </c>
      <c r="BG43" t="inlineStr">
        <is>
          <t xml:space="preserve">Family </t>
        </is>
      </c>
      <c r="BH43" t="inlineStr">
        <is>
          <t xml:space="preserve">Yes I am willing </t>
        </is>
      </c>
      <c r="BI43" t="inlineStr">
        <is>
          <t xml:space="preserve">No </t>
        </is>
      </c>
      <c r="BJ43" t="inlineStr">
        <is>
          <t xml:space="preserve">Very important </t>
        </is>
      </c>
      <c r="BP43" t="inlineStr">
        <is>
          <t xml:space="preserve">Agree </t>
        </is>
      </c>
      <c r="BQ43" t="inlineStr">
        <is>
          <t xml:space="preserve">Yes </t>
        </is>
      </c>
      <c r="BS43" t="inlineStr">
        <is>
          <t>All</t>
        </is>
      </c>
      <c r="BT43" t="inlineStr">
        <is>
          <t>All</t>
        </is>
      </c>
      <c r="BU43" t="inlineStr">
        <is>
          <t>Don't know</t>
        </is>
      </c>
      <c r="CD43" t="inlineStr">
        <is>
          <t xml:space="preserve">Very easy </t>
        </is>
      </c>
      <c r="CE43" t="inlineStr">
        <is>
          <t xml:space="preserve"> Very important</t>
        </is>
      </c>
      <c r="CF43" t="n">
        <v>595145633</v>
      </c>
      <c r="CG43" t="inlineStr">
        <is>
          <t>56be14c1-3689-4f16-b080-7e51f73d6b42</t>
        </is>
      </c>
      <c r="CH43" s="1" t="n">
        <v>45961.42071759259</v>
      </c>
      <c r="CK43" t="inlineStr">
        <is>
          <t>submitted_via_web</t>
        </is>
      </c>
      <c r="CM43" t="inlineStr">
        <is>
          <t>vteYUDpqfKnk39PHFZkvPS</t>
        </is>
      </c>
      <c r="CO43" t="inlineStr">
        <is>
          <t>uuid:56be14c1-3689-4f16-b080-7e51f73d6b42</t>
        </is>
      </c>
      <c r="CP43" t="n">
        <v>42</v>
      </c>
      <c r="CQ43" t="n">
        <v>8</v>
      </c>
      <c r="CR43" t="n">
        <v>1.635042758636509</v>
      </c>
    </row>
    <row r="44">
      <c r="A44" s="1" t="n">
        <v>45961.64986407408</v>
      </c>
      <c r="B44" s="1" t="n">
        <v>45961.7155715162</v>
      </c>
      <c r="D44" t="inlineStr">
        <is>
          <t>26</t>
        </is>
      </c>
      <c r="E44" t="inlineStr">
        <is>
          <t>Female</t>
        </is>
      </c>
      <c r="F44" t="inlineStr">
        <is>
          <t>Tamil</t>
        </is>
      </c>
      <c r="H44" t="inlineStr">
        <is>
          <t>Hindu</t>
        </is>
      </c>
      <c r="J44" t="inlineStr">
        <is>
          <t>Government sector</t>
        </is>
      </c>
      <c r="K44" t="inlineStr">
        <is>
          <t>51,000 – 100,000</t>
        </is>
      </c>
      <c r="L44" t="inlineStr">
        <is>
          <t xml:space="preserve">Up to A/L </t>
        </is>
      </c>
      <c r="M44" t="inlineStr">
        <is>
          <t>Eastern</t>
        </is>
      </c>
      <c r="N44" t="inlineStr">
        <is>
          <t>Single</t>
        </is>
      </c>
      <c r="P44" t="inlineStr">
        <is>
          <t xml:space="preserve"> Yes </t>
        </is>
      </c>
      <c r="Q44" t="inlineStr">
        <is>
          <t>Thalassemia trait</t>
        </is>
      </c>
      <c r="R44" s="1" t="n">
        <v>45169</v>
      </c>
      <c r="S44" t="inlineStr">
        <is>
          <t xml:space="preserve">During school/university  </t>
        </is>
      </c>
      <c r="U44" t="inlineStr">
        <is>
          <t>Yes</t>
        </is>
      </c>
      <c r="V44" t="inlineStr">
        <is>
          <t>Thalassemia major (severe form)   Thalassemia minor or trait (carrier form)</t>
        </is>
      </c>
      <c r="W44" t="n">
        <v>1</v>
      </c>
      <c r="X44" t="n">
        <v>1</v>
      </c>
      <c r="Y44" t="n">
        <v>0</v>
      </c>
      <c r="Z44" t="n">
        <v>0</v>
      </c>
      <c r="AA44" t="inlineStr">
        <is>
          <t xml:space="preserve">Thalassemia major (severe form)  </t>
        </is>
      </c>
      <c r="AB44" t="n">
        <v>1</v>
      </c>
      <c r="AC44" t="n">
        <v>0</v>
      </c>
      <c r="AD44" t="n">
        <v>0</v>
      </c>
      <c r="AE44" t="n">
        <v>0</v>
      </c>
      <c r="AF44" t="inlineStr">
        <is>
          <t>Thalassemia minor or trait (carrier form)</t>
        </is>
      </c>
      <c r="AG44" t="n">
        <v>0</v>
      </c>
      <c r="AH44" t="n">
        <v>1</v>
      </c>
      <c r="AI44" t="n">
        <v>0</v>
      </c>
      <c r="AJ44" t="n">
        <v>0</v>
      </c>
      <c r="AK44" t="inlineStr">
        <is>
          <t>Yes</t>
        </is>
      </c>
      <c r="AL44" t="inlineStr">
        <is>
          <t xml:space="preserve">Cannot be cured   </t>
        </is>
      </c>
      <c r="AM44" t="inlineStr">
        <is>
          <t xml:space="preserve">Can be prevented </t>
        </is>
      </c>
      <c r="AN44" t="inlineStr">
        <is>
          <t xml:space="preserve">From generation to generation (hereditary)  </t>
        </is>
      </c>
      <c r="AO44" t="inlineStr">
        <is>
          <t>Healthy</t>
        </is>
      </c>
      <c r="AP44" t="inlineStr">
        <is>
          <t xml:space="preserve">Has a chance to be affected (e.g., 25%) </t>
        </is>
      </c>
      <c r="AR44" t="inlineStr">
        <is>
          <t>Don’t know</t>
        </is>
      </c>
      <c r="AS44" t="inlineStr">
        <is>
          <t>Regular blood transfusions for life  Iron overload affecting heart and liver  Delayed growth and puberty Frequent nosebleeds</t>
        </is>
      </c>
      <c r="AT44" t="n">
        <v>1</v>
      </c>
      <c r="AU44" t="n">
        <v>1</v>
      </c>
      <c r="AV44" t="n">
        <v>1</v>
      </c>
      <c r="AW44" t="n">
        <v>0</v>
      </c>
      <c r="AX44" t="n">
        <v>0</v>
      </c>
      <c r="AY44" t="n">
        <v>1</v>
      </c>
      <c r="AZ44" t="n">
        <v>0</v>
      </c>
      <c r="BA44" t="n">
        <v>0</v>
      </c>
      <c r="BB44" t="inlineStr">
        <is>
          <t xml:space="preserve"> Get the partner tested before marriage   Get family members tested </t>
        </is>
      </c>
      <c r="BC44" t="n">
        <v>1</v>
      </c>
      <c r="BD44" t="n">
        <v>1</v>
      </c>
      <c r="BE44" t="n">
        <v>0</v>
      </c>
      <c r="BF44" t="n">
        <v>0</v>
      </c>
      <c r="BG44" t="inlineStr">
        <is>
          <t xml:space="preserve">Healthcare staff (doctors and nurses) </t>
        </is>
      </c>
      <c r="BH44" t="inlineStr">
        <is>
          <t>Definitely not</t>
        </is>
      </c>
      <c r="BI44" t="inlineStr">
        <is>
          <t xml:space="preserve">No </t>
        </is>
      </c>
      <c r="BJ44" t="inlineStr">
        <is>
          <t xml:space="preserve">Very important </t>
        </is>
      </c>
      <c r="BP44" t="inlineStr">
        <is>
          <t xml:space="preserve">Agree </t>
        </is>
      </c>
      <c r="BQ44" t="inlineStr">
        <is>
          <t xml:space="preserve">Yes </t>
        </is>
      </c>
      <c r="BS44" t="inlineStr">
        <is>
          <t>None</t>
        </is>
      </c>
      <c r="BT44" t="inlineStr">
        <is>
          <t>Don't know</t>
        </is>
      </c>
      <c r="BU44" t="inlineStr">
        <is>
          <t>Don't know</t>
        </is>
      </c>
      <c r="BV44" t="inlineStr">
        <is>
          <t>Perception that screening was unnecessary</t>
        </is>
      </c>
      <c r="BW44" t="n">
        <v>0</v>
      </c>
      <c r="BX44" t="n">
        <v>0</v>
      </c>
      <c r="BY44" t="n">
        <v>0</v>
      </c>
      <c r="BZ44" t="n">
        <v>1</v>
      </c>
      <c r="CA44" t="n">
        <v>0</v>
      </c>
      <c r="CB44" t="n">
        <v>0</v>
      </c>
      <c r="CD44" t="inlineStr">
        <is>
          <t>Not sure</t>
        </is>
      </c>
      <c r="CE44" t="inlineStr">
        <is>
          <t xml:space="preserve"> Very important</t>
        </is>
      </c>
      <c r="CF44" t="n">
        <v>595231317</v>
      </c>
      <c r="CG44" t="inlineStr">
        <is>
          <t>e0f14280-4688-4208-9db1-a0b521ecbf1c</t>
        </is>
      </c>
      <c r="CH44" s="1" t="n">
        <v>45961.48642361111</v>
      </c>
      <c r="CK44" t="inlineStr">
        <is>
          <t>submitted_via_web</t>
        </is>
      </c>
      <c r="CM44" t="inlineStr">
        <is>
          <t>vteYUDpqfKnk39PHFZkvPS</t>
        </is>
      </c>
      <c r="CO44" t="inlineStr">
        <is>
          <t>uuid:e0f14280-4688-4208-9db1-a0b521ecbf1c</t>
        </is>
      </c>
      <c r="CP44" t="n">
        <v>43</v>
      </c>
      <c r="CQ44" t="n">
        <v>6</v>
      </c>
      <c r="CR44" t="n">
        <v>0.8544166434680093</v>
      </c>
    </row>
    <row r="45">
      <c r="A45" s="1" t="n">
        <v>45961.71557206019</v>
      </c>
      <c r="B45" s="1" t="n">
        <v>45961.75596850694</v>
      </c>
      <c r="D45" t="inlineStr">
        <is>
          <t>46</t>
        </is>
      </c>
      <c r="E45" t="inlineStr">
        <is>
          <t xml:space="preserve">Male </t>
        </is>
      </c>
      <c r="F45" t="inlineStr">
        <is>
          <t>Sinhalese</t>
        </is>
      </c>
      <c r="H45" t="inlineStr">
        <is>
          <t>Buddhist</t>
        </is>
      </c>
      <c r="J45" t="inlineStr">
        <is>
          <t>Self-employed</t>
        </is>
      </c>
      <c r="K45" t="inlineStr">
        <is>
          <t>25,000 – 50,000</t>
        </is>
      </c>
      <c r="L45" t="inlineStr">
        <is>
          <t xml:space="preserve">Up to O/L </t>
        </is>
      </c>
      <c r="M45" t="inlineStr">
        <is>
          <t xml:space="preserve">North Western </t>
        </is>
      </c>
      <c r="N45" t="inlineStr">
        <is>
          <t xml:space="preserve">Married </t>
        </is>
      </c>
      <c r="O45" t="inlineStr">
        <is>
          <t xml:space="preserve">Yes, more than one child </t>
        </is>
      </c>
      <c r="P45" t="inlineStr">
        <is>
          <t xml:space="preserve"> I don’t know</t>
        </is>
      </c>
      <c r="R45" s="1" t="n">
        <v>45046</v>
      </c>
      <c r="S45" t="inlineStr">
        <is>
          <t>During community screening</t>
        </is>
      </c>
      <c r="U45" t="inlineStr">
        <is>
          <t>Don’t know</t>
        </is>
      </c>
      <c r="V45" t="inlineStr">
        <is>
          <t>Thalassemia major (severe form)   Thalassemia minor or trait (carrier form)</t>
        </is>
      </c>
      <c r="W45" t="n">
        <v>1</v>
      </c>
      <c r="X45" t="n">
        <v>1</v>
      </c>
      <c r="Y45" t="n">
        <v>0</v>
      </c>
      <c r="Z45" t="n">
        <v>0</v>
      </c>
      <c r="AA45" t="inlineStr">
        <is>
          <t xml:space="preserve">Thalassemia major (severe form)  </t>
        </is>
      </c>
      <c r="AB45" t="n">
        <v>1</v>
      </c>
      <c r="AC45" t="n">
        <v>0</v>
      </c>
      <c r="AD45" t="n">
        <v>0</v>
      </c>
      <c r="AE45" t="n">
        <v>0</v>
      </c>
      <c r="AF45" t="inlineStr">
        <is>
          <t>Thalassemia minor or trait (carrier form)</t>
        </is>
      </c>
      <c r="AG45" t="n">
        <v>0</v>
      </c>
      <c r="AH45" t="n">
        <v>1</v>
      </c>
      <c r="AI45" t="n">
        <v>0</v>
      </c>
      <c r="AJ45" t="n">
        <v>0</v>
      </c>
      <c r="AK45" t="inlineStr">
        <is>
          <t>Yes</t>
        </is>
      </c>
      <c r="AL45" t="inlineStr">
        <is>
          <t xml:space="preserve">Cannot be cured   </t>
        </is>
      </c>
      <c r="AM45" t="inlineStr">
        <is>
          <t>Not sure</t>
        </is>
      </c>
      <c r="AN45" t="inlineStr">
        <is>
          <t xml:space="preserve">From generation to generation (hereditary)  </t>
        </is>
      </c>
      <c r="AO45" t="inlineStr">
        <is>
          <t>Healthy</t>
        </is>
      </c>
      <c r="AP45" t="inlineStr">
        <is>
          <t xml:space="preserve">Has a chance to be affected (e.g., 25%) </t>
        </is>
      </c>
      <c r="AQ45" t="inlineStr">
        <is>
          <t xml:space="preserve">Yes </t>
        </is>
      </c>
      <c r="AR45" t="inlineStr">
        <is>
          <t>Don’t know</t>
        </is>
      </c>
      <c r="AS45" t="inlineStr">
        <is>
          <t>Regular blood transfusions for life  Frequent nosebleeds Fatigue</t>
        </is>
      </c>
      <c r="AT45" t="n">
        <v>1</v>
      </c>
      <c r="AU45" t="n">
        <v>0</v>
      </c>
      <c r="AV45" t="n">
        <v>0</v>
      </c>
      <c r="AW45" t="n">
        <v>0</v>
      </c>
      <c r="AX45" t="n">
        <v>0</v>
      </c>
      <c r="AY45" t="n">
        <v>1</v>
      </c>
      <c r="AZ45" t="n">
        <v>1</v>
      </c>
      <c r="BA45" t="n">
        <v>0</v>
      </c>
      <c r="BB45" t="inlineStr">
        <is>
          <t xml:space="preserve">Get family members tested </t>
        </is>
      </c>
      <c r="BC45" t="n">
        <v>0</v>
      </c>
      <c r="BD45" t="n">
        <v>1</v>
      </c>
      <c r="BE45" t="n">
        <v>0</v>
      </c>
      <c r="BF45" t="n">
        <v>0</v>
      </c>
      <c r="BG45" t="inlineStr">
        <is>
          <t>Only found out after screening</t>
        </is>
      </c>
      <c r="BH45" t="inlineStr">
        <is>
          <t>Definitely not</t>
        </is>
      </c>
      <c r="BI45" t="inlineStr">
        <is>
          <t xml:space="preserve">No </t>
        </is>
      </c>
      <c r="BJ45" t="inlineStr">
        <is>
          <t xml:space="preserve">Important </t>
        </is>
      </c>
      <c r="BK45" t="inlineStr">
        <is>
          <t xml:space="preserve"> Partner was screened after marriage </t>
        </is>
      </c>
      <c r="BP45" t="inlineStr">
        <is>
          <t xml:space="preserve">Agree </t>
        </is>
      </c>
      <c r="BQ45" t="inlineStr">
        <is>
          <t xml:space="preserve">Yes </t>
        </is>
      </c>
      <c r="BS45" t="inlineStr">
        <is>
          <t>All</t>
        </is>
      </c>
      <c r="BT45" t="inlineStr">
        <is>
          <t>Some</t>
        </is>
      </c>
      <c r="BU45" t="inlineStr">
        <is>
          <t>Don't know</t>
        </is>
      </c>
      <c r="CD45" t="inlineStr">
        <is>
          <t xml:space="preserve">Very easy </t>
        </is>
      </c>
      <c r="CE45" t="inlineStr">
        <is>
          <t xml:space="preserve"> Very important</t>
        </is>
      </c>
      <c r="CF45" t="n">
        <v>595279531</v>
      </c>
      <c r="CG45" t="inlineStr">
        <is>
          <t>4f2561e9-bb8b-40ea-a4d7-97e42dc8c148</t>
        </is>
      </c>
      <c r="CH45" s="1" t="n">
        <v>45961.52680555556</v>
      </c>
      <c r="CK45" t="inlineStr">
        <is>
          <t>submitted_via_web</t>
        </is>
      </c>
      <c r="CM45" t="inlineStr">
        <is>
          <t>vteYUDpqfKnk39PHFZkvPS</t>
        </is>
      </c>
      <c r="CO45" t="inlineStr">
        <is>
          <t>uuid:4f2561e9-bb8b-40ea-a4d7-97e42dc8c148</t>
        </is>
      </c>
      <c r="CP45" t="n">
        <v>44</v>
      </c>
      <c r="CQ45" t="n">
        <v>5</v>
      </c>
      <c r="CR45" t="n">
        <v>0.4641035858837596</v>
      </c>
    </row>
    <row r="46">
      <c r="A46" s="1" t="n">
        <v>45961.75596871528</v>
      </c>
      <c r="B46" s="1" t="n">
        <v>45961.77232428241</v>
      </c>
      <c r="D46" t="inlineStr">
        <is>
          <t>40</t>
        </is>
      </c>
      <c r="E46" t="inlineStr">
        <is>
          <t>Female</t>
        </is>
      </c>
      <c r="F46" t="inlineStr">
        <is>
          <t>Sinhalese</t>
        </is>
      </c>
      <c r="H46" t="inlineStr">
        <is>
          <t>Buddhist</t>
        </is>
      </c>
      <c r="J46" t="inlineStr">
        <is>
          <t>Government sector</t>
        </is>
      </c>
      <c r="K46" t="inlineStr">
        <is>
          <t>51,000 – 100,000</t>
        </is>
      </c>
      <c r="L46" t="inlineStr">
        <is>
          <t xml:space="preserve">Up to A/L </t>
        </is>
      </c>
      <c r="M46" t="inlineStr">
        <is>
          <t>Western</t>
        </is>
      </c>
      <c r="N46" t="inlineStr">
        <is>
          <t xml:space="preserve">Married </t>
        </is>
      </c>
      <c r="O46" t="inlineStr">
        <is>
          <t xml:space="preserve">Yes, only one child </t>
        </is>
      </c>
      <c r="P46" t="inlineStr">
        <is>
          <t>No</t>
        </is>
      </c>
      <c r="R46" s="1" t="n">
        <v>44988</v>
      </c>
      <c r="S46" t="inlineStr">
        <is>
          <t>During community screening</t>
        </is>
      </c>
      <c r="U46" t="inlineStr">
        <is>
          <t>Don’t know</t>
        </is>
      </c>
      <c r="V46" t="inlineStr">
        <is>
          <t>I don’t know</t>
        </is>
      </c>
      <c r="W46" t="n">
        <v>0</v>
      </c>
      <c r="X46" t="n">
        <v>0</v>
      </c>
      <c r="Y46" t="n">
        <v>0</v>
      </c>
      <c r="Z46" t="n">
        <v>1</v>
      </c>
      <c r="AA46" t="inlineStr">
        <is>
          <t>I don’t know</t>
        </is>
      </c>
      <c r="AB46" t="n">
        <v>0</v>
      </c>
      <c r="AC46" t="n">
        <v>0</v>
      </c>
      <c r="AD46" t="n">
        <v>0</v>
      </c>
      <c r="AE46" t="n">
        <v>1</v>
      </c>
      <c r="AF46" t="inlineStr">
        <is>
          <t>Thalassemia minor or trait (carrier form)</t>
        </is>
      </c>
      <c r="AG46" t="n">
        <v>0</v>
      </c>
      <c r="AH46" t="n">
        <v>1</v>
      </c>
      <c r="AI46" t="n">
        <v>0</v>
      </c>
      <c r="AJ46" t="n">
        <v>0</v>
      </c>
      <c r="AK46" t="inlineStr">
        <is>
          <t>No</t>
        </is>
      </c>
      <c r="AL46" t="inlineStr">
        <is>
          <t>Don’t know</t>
        </is>
      </c>
      <c r="AM46" t="inlineStr">
        <is>
          <t>Not sure</t>
        </is>
      </c>
      <c r="AN46" t="inlineStr">
        <is>
          <t xml:space="preserve">From generation to generation (hereditary)  </t>
        </is>
      </c>
      <c r="AO46" t="inlineStr">
        <is>
          <t>Healthy</t>
        </is>
      </c>
      <c r="AP46" t="inlineStr">
        <is>
          <t>Don’t know</t>
        </is>
      </c>
      <c r="AR46" t="inlineStr">
        <is>
          <t>Don’t know</t>
        </is>
      </c>
      <c r="AS46" t="inlineStr">
        <is>
          <t>Regular blood transfusions for life  Delayed growth and puberty Fatigue</t>
        </is>
      </c>
      <c r="AT46" t="n">
        <v>1</v>
      </c>
      <c r="AU46" t="n">
        <v>0</v>
      </c>
      <c r="AV46" t="n">
        <v>1</v>
      </c>
      <c r="AW46" t="n">
        <v>0</v>
      </c>
      <c r="AX46" t="n">
        <v>0</v>
      </c>
      <c r="AY46" t="n">
        <v>0</v>
      </c>
      <c r="AZ46" t="n">
        <v>1</v>
      </c>
      <c r="BA46" t="n">
        <v>0</v>
      </c>
      <c r="BB46" t="inlineStr">
        <is>
          <t xml:space="preserve">Get family members tested </t>
        </is>
      </c>
      <c r="BC46" t="n">
        <v>0</v>
      </c>
      <c r="BD46" t="n">
        <v>1</v>
      </c>
      <c r="BE46" t="n">
        <v>0</v>
      </c>
      <c r="BF46" t="n">
        <v>0</v>
      </c>
      <c r="BG46" t="inlineStr">
        <is>
          <t>Only found out after screening</t>
        </is>
      </c>
      <c r="BH46" t="inlineStr">
        <is>
          <t>Definitely not</t>
        </is>
      </c>
      <c r="BI46" t="inlineStr">
        <is>
          <t xml:space="preserve">No </t>
        </is>
      </c>
      <c r="BJ46" t="inlineStr">
        <is>
          <t xml:space="preserve">Very important </t>
        </is>
      </c>
      <c r="BK46" t="inlineStr">
        <is>
          <t xml:space="preserve"> Partner was screened after marriage </t>
        </is>
      </c>
      <c r="BP46" t="inlineStr">
        <is>
          <t xml:space="preserve">Agree </t>
        </is>
      </c>
      <c r="BQ46" t="inlineStr">
        <is>
          <t>No</t>
        </is>
      </c>
      <c r="BS46" t="inlineStr">
        <is>
          <t>None</t>
        </is>
      </c>
      <c r="BT46" t="inlineStr">
        <is>
          <t>Don't know</t>
        </is>
      </c>
      <c r="BU46" t="inlineStr">
        <is>
          <t>Don't know</t>
        </is>
      </c>
      <c r="BV46" t="inlineStr">
        <is>
          <t>Other</t>
        </is>
      </c>
      <c r="BW46" t="n">
        <v>0</v>
      </c>
      <c r="BX46" t="n">
        <v>0</v>
      </c>
      <c r="BY46" t="n">
        <v>0</v>
      </c>
      <c r="BZ46" t="n">
        <v>0</v>
      </c>
      <c r="CA46" t="n">
        <v>0</v>
      </c>
      <c r="CB46" t="n">
        <v>1</v>
      </c>
      <c r="CC46" t="inlineStr">
        <is>
          <t>Parents are above 60 and other siblings have already married and have children. Child is not still at the marrigable age.</t>
        </is>
      </c>
      <c r="CD46" t="inlineStr">
        <is>
          <t xml:space="preserve">Difficult </t>
        </is>
      </c>
      <c r="CE46" t="inlineStr">
        <is>
          <t xml:space="preserve">Important </t>
        </is>
      </c>
      <c r="CF46" t="n">
        <v>595297911</v>
      </c>
      <c r="CG46" t="inlineStr">
        <is>
          <t>99b62194-5e7c-4eb9-a202-d0680c136973</t>
        </is>
      </c>
      <c r="CH46" s="1" t="n">
        <v>45961.5431712963</v>
      </c>
      <c r="CK46" t="inlineStr">
        <is>
          <t>submitted_via_web</t>
        </is>
      </c>
      <c r="CM46" t="inlineStr">
        <is>
          <t>vteYUDpqfKnk39PHFZkvPS</t>
        </is>
      </c>
      <c r="CO46" t="inlineStr">
        <is>
          <t>uuid:99b62194-5e7c-4eb9-a202-d0680c136973</t>
        </is>
      </c>
      <c r="CP46" t="n">
        <v>45</v>
      </c>
      <c r="CQ46" t="n">
        <v>3</v>
      </c>
      <c r="CR46" t="n">
        <v>-0.3165225292847399</v>
      </c>
    </row>
    <row r="47">
      <c r="A47" s="1" t="n">
        <v>45961.76767006944</v>
      </c>
      <c r="B47" s="1" t="n">
        <v>45961.77479384259</v>
      </c>
      <c r="D47" t="inlineStr">
        <is>
          <t>25</t>
        </is>
      </c>
      <c r="E47" t="inlineStr">
        <is>
          <t xml:space="preserve">Male </t>
        </is>
      </c>
      <c r="F47" t="inlineStr">
        <is>
          <t>Sinhalese</t>
        </is>
      </c>
      <c r="H47" t="inlineStr">
        <is>
          <t>Buddhist</t>
        </is>
      </c>
      <c r="J47" t="inlineStr">
        <is>
          <t>Government sector</t>
        </is>
      </c>
      <c r="K47" t="inlineStr">
        <is>
          <t>&lt; 25,000</t>
        </is>
      </c>
      <c r="L47" t="inlineStr">
        <is>
          <t xml:space="preserve">Undergraduate </t>
        </is>
      </c>
      <c r="M47" t="inlineStr">
        <is>
          <t xml:space="preserve">North Central </t>
        </is>
      </c>
      <c r="N47" t="inlineStr">
        <is>
          <t>Single</t>
        </is>
      </c>
      <c r="P47" t="inlineStr">
        <is>
          <t xml:space="preserve"> Yes </t>
        </is>
      </c>
      <c r="S47" t="inlineStr">
        <is>
          <t>At workplace</t>
        </is>
      </c>
      <c r="U47" t="inlineStr">
        <is>
          <t>Yes</t>
        </is>
      </c>
      <c r="V47" t="inlineStr">
        <is>
          <t xml:space="preserve">Thalassemia major (severe form)   Thalassemia minor or trait (carrier form) Thalassemia intermedia (moderate form) </t>
        </is>
      </c>
      <c r="W47" t="n">
        <v>1</v>
      </c>
      <c r="X47" t="n">
        <v>1</v>
      </c>
      <c r="Y47" t="n">
        <v>1</v>
      </c>
      <c r="Z47" t="n">
        <v>0</v>
      </c>
      <c r="AA47" t="inlineStr">
        <is>
          <t xml:space="preserve">Thalassemia major (severe form)  </t>
        </is>
      </c>
      <c r="AB47" t="n">
        <v>1</v>
      </c>
      <c r="AC47" t="n">
        <v>0</v>
      </c>
      <c r="AD47" t="n">
        <v>0</v>
      </c>
      <c r="AE47" t="n">
        <v>0</v>
      </c>
      <c r="AF47" t="inlineStr">
        <is>
          <t>Thalassemia minor or trait (carrier form)</t>
        </is>
      </c>
      <c r="AG47" t="n">
        <v>0</v>
      </c>
      <c r="AH47" t="n">
        <v>1</v>
      </c>
      <c r="AI47" t="n">
        <v>0</v>
      </c>
      <c r="AJ47" t="n">
        <v>0</v>
      </c>
      <c r="AK47" t="inlineStr">
        <is>
          <t>Don’t know</t>
        </is>
      </c>
      <c r="AL47" t="inlineStr">
        <is>
          <t>Don’t know</t>
        </is>
      </c>
      <c r="AM47" t="inlineStr">
        <is>
          <t>Cannot be prevented</t>
        </is>
      </c>
      <c r="AN47" t="inlineStr">
        <is>
          <t xml:space="preserve">From generation to generation (hereditary)  </t>
        </is>
      </c>
      <c r="AO47" t="inlineStr">
        <is>
          <t>Healthy</t>
        </is>
      </c>
      <c r="AP47" t="inlineStr">
        <is>
          <t xml:space="preserve">Has a chance to be affected (e.g., 25%) </t>
        </is>
      </c>
      <c r="AQ47" t="inlineStr">
        <is>
          <t xml:space="preserve">Yes </t>
        </is>
      </c>
      <c r="AR47" t="inlineStr">
        <is>
          <t>Don’t know</t>
        </is>
      </c>
      <c r="AS47" t="inlineStr">
        <is>
          <t xml:space="preserve">Regular blood transfusions for life  Iron overload affecting heart and liver </t>
        </is>
      </c>
      <c r="AT47" t="n">
        <v>1</v>
      </c>
      <c r="AU47" t="n">
        <v>1</v>
      </c>
      <c r="AV47" t="n">
        <v>0</v>
      </c>
      <c r="AW47" t="n">
        <v>0</v>
      </c>
      <c r="AX47" t="n">
        <v>0</v>
      </c>
      <c r="AY47" t="n">
        <v>0</v>
      </c>
      <c r="AZ47" t="n">
        <v>0</v>
      </c>
      <c r="BA47" t="n">
        <v>0</v>
      </c>
      <c r="BB47" t="inlineStr">
        <is>
          <t xml:space="preserve"> Get the partner tested before marriage   Get family members tested </t>
        </is>
      </c>
      <c r="BC47" t="n">
        <v>1</v>
      </c>
      <c r="BD47" t="n">
        <v>1</v>
      </c>
      <c r="BE47" t="n">
        <v>0</v>
      </c>
      <c r="BF47" t="n">
        <v>0</v>
      </c>
      <c r="BG47" t="inlineStr">
        <is>
          <t xml:space="preserve">School  </t>
        </is>
      </c>
      <c r="BH47" t="inlineStr">
        <is>
          <t>Definitely not</t>
        </is>
      </c>
      <c r="BI47" t="inlineStr">
        <is>
          <t xml:space="preserve">No </t>
        </is>
      </c>
      <c r="BJ47" t="inlineStr">
        <is>
          <t xml:space="preserve">Very important </t>
        </is>
      </c>
      <c r="BK47" t="inlineStr">
        <is>
          <t>Other</t>
        </is>
      </c>
      <c r="BL47" t="inlineStr">
        <is>
          <t>Still not married</t>
        </is>
      </c>
      <c r="BM47" t="inlineStr">
        <is>
          <t>Other</t>
        </is>
      </c>
      <c r="BN47" t="inlineStr">
        <is>
          <t>Still not married</t>
        </is>
      </c>
      <c r="BP47" t="inlineStr">
        <is>
          <t xml:space="preserve">Agree </t>
        </is>
      </c>
      <c r="BQ47" t="inlineStr">
        <is>
          <t xml:space="preserve">Yes </t>
        </is>
      </c>
      <c r="BS47" t="inlineStr">
        <is>
          <t>All</t>
        </is>
      </c>
      <c r="BT47" t="inlineStr">
        <is>
          <t>None</t>
        </is>
      </c>
      <c r="BU47" t="inlineStr">
        <is>
          <t>None</t>
        </is>
      </c>
      <c r="BV47" t="inlineStr">
        <is>
          <t xml:space="preserve">Lack of knowledge </t>
        </is>
      </c>
      <c r="BW47" t="n">
        <v>1</v>
      </c>
      <c r="BX47" t="n">
        <v>0</v>
      </c>
      <c r="BY47" t="n">
        <v>0</v>
      </c>
      <c r="BZ47" t="n">
        <v>0</v>
      </c>
      <c r="CA47" t="n">
        <v>0</v>
      </c>
      <c r="CB47" t="n">
        <v>0</v>
      </c>
      <c r="CD47" t="inlineStr">
        <is>
          <t xml:space="preserve">Somewhat easy </t>
        </is>
      </c>
      <c r="CE47" t="inlineStr">
        <is>
          <t xml:space="preserve"> Very important</t>
        </is>
      </c>
      <c r="CF47" t="n">
        <v>595300914</v>
      </c>
      <c r="CG47" t="inlineStr">
        <is>
          <t>f18169f4-ef67-47cb-81d9-8beea207aa0c</t>
        </is>
      </c>
      <c r="CH47" s="1" t="n">
        <v>45961.54564814815</v>
      </c>
      <c r="CK47" t="inlineStr">
        <is>
          <t>submitted_via_web</t>
        </is>
      </c>
      <c r="CM47" t="inlineStr">
        <is>
          <t>vteYUDpqfKnk39PHFZkvPS</t>
        </is>
      </c>
      <c r="CO47" t="inlineStr">
        <is>
          <t>uuid:f18169f4-ef67-47cb-81d9-8beea207aa0c</t>
        </is>
      </c>
      <c r="CP47" t="n">
        <v>46</v>
      </c>
      <c r="CQ47" t="n">
        <v>5</v>
      </c>
      <c r="CR47" t="n">
        <v>0.4641035858837596</v>
      </c>
    </row>
    <row r="48">
      <c r="A48" s="1" t="n">
        <v>45961.77232447916</v>
      </c>
      <c r="B48" s="1" t="n">
        <v>45961.7949937037</v>
      </c>
      <c r="D48" t="inlineStr">
        <is>
          <t>55</t>
        </is>
      </c>
      <c r="E48" t="inlineStr">
        <is>
          <t>Female</t>
        </is>
      </c>
      <c r="F48" t="inlineStr">
        <is>
          <t>Sinhalese</t>
        </is>
      </c>
      <c r="H48" t="inlineStr">
        <is>
          <t>Roman Catholic</t>
        </is>
      </c>
      <c r="J48" t="inlineStr">
        <is>
          <t>Government sector</t>
        </is>
      </c>
      <c r="K48" t="inlineStr">
        <is>
          <t>&gt; 100,000</t>
        </is>
      </c>
      <c r="L48" t="inlineStr">
        <is>
          <t xml:space="preserve">Up to A/L </t>
        </is>
      </c>
      <c r="M48" t="inlineStr">
        <is>
          <t>Western</t>
        </is>
      </c>
      <c r="N48" t="inlineStr">
        <is>
          <t xml:space="preserve">Married </t>
        </is>
      </c>
      <c r="O48" t="inlineStr">
        <is>
          <t xml:space="preserve">Yes, more than one child </t>
        </is>
      </c>
      <c r="P48" t="inlineStr">
        <is>
          <t>No</t>
        </is>
      </c>
      <c r="R48" s="1" t="n">
        <v>44988</v>
      </c>
      <c r="S48" t="inlineStr">
        <is>
          <t>During community screening</t>
        </is>
      </c>
      <c r="U48" t="inlineStr">
        <is>
          <t>Yes</t>
        </is>
      </c>
      <c r="V48" t="inlineStr">
        <is>
          <t>Thalassemia major (severe form)   Thalassemia minor or trait (carrier form)</t>
        </is>
      </c>
      <c r="W48" t="n">
        <v>1</v>
      </c>
      <c r="X48" t="n">
        <v>1</v>
      </c>
      <c r="Y48" t="n">
        <v>0</v>
      </c>
      <c r="Z48" t="n">
        <v>0</v>
      </c>
      <c r="AA48" t="inlineStr">
        <is>
          <t xml:space="preserve">Thalassemia major (severe form)  </t>
        </is>
      </c>
      <c r="AB48" t="n">
        <v>1</v>
      </c>
      <c r="AC48" t="n">
        <v>0</v>
      </c>
      <c r="AD48" t="n">
        <v>0</v>
      </c>
      <c r="AE48" t="n">
        <v>0</v>
      </c>
      <c r="AF48" t="inlineStr">
        <is>
          <t>Thalassemia minor or trait (carrier form)</t>
        </is>
      </c>
      <c r="AG48" t="n">
        <v>0</v>
      </c>
      <c r="AH48" t="n">
        <v>1</v>
      </c>
      <c r="AI48" t="n">
        <v>0</v>
      </c>
      <c r="AJ48" t="n">
        <v>0</v>
      </c>
      <c r="AK48" t="inlineStr">
        <is>
          <t>Yes</t>
        </is>
      </c>
      <c r="AL48" t="inlineStr">
        <is>
          <t xml:space="preserve">Cannot be cured   </t>
        </is>
      </c>
      <c r="AM48" t="inlineStr">
        <is>
          <t xml:space="preserve">Can be prevented </t>
        </is>
      </c>
      <c r="AN48" t="inlineStr">
        <is>
          <t xml:space="preserve">From generation to generation (hereditary)  </t>
        </is>
      </c>
      <c r="AO48" t="inlineStr">
        <is>
          <t>Healthy</t>
        </is>
      </c>
      <c r="AP48" t="inlineStr">
        <is>
          <t xml:space="preserve">Has a chance to be affected (e.g., 25%) </t>
        </is>
      </c>
      <c r="AQ48" t="inlineStr">
        <is>
          <t xml:space="preserve">Yes </t>
        </is>
      </c>
      <c r="AR48" t="inlineStr">
        <is>
          <t>Don’t know</t>
        </is>
      </c>
      <c r="AS48" t="inlineStr">
        <is>
          <t>Regular blood transfusions for life  Iron overload affecting heart and liver  Delayed growth and puberty Risk of infections from transfusions Fatigue</t>
        </is>
      </c>
      <c r="AT48" t="n">
        <v>1</v>
      </c>
      <c r="AU48" t="n">
        <v>1</v>
      </c>
      <c r="AV48" t="n">
        <v>1</v>
      </c>
      <c r="AW48" t="n">
        <v>0</v>
      </c>
      <c r="AX48" t="n">
        <v>1</v>
      </c>
      <c r="AY48" t="n">
        <v>0</v>
      </c>
      <c r="AZ48" t="n">
        <v>1</v>
      </c>
      <c r="BA48" t="n">
        <v>0</v>
      </c>
      <c r="BB48" t="inlineStr">
        <is>
          <t xml:space="preserve">Get family members tested </t>
        </is>
      </c>
      <c r="BC48" t="n">
        <v>0</v>
      </c>
      <c r="BD48" t="n">
        <v>1</v>
      </c>
      <c r="BE48" t="n">
        <v>0</v>
      </c>
      <c r="BF48" t="n">
        <v>0</v>
      </c>
      <c r="BG48" t="inlineStr">
        <is>
          <t xml:space="preserve">Healthcare staff (doctors and nurses) </t>
        </is>
      </c>
      <c r="BH48" t="inlineStr">
        <is>
          <t>Definitely not</t>
        </is>
      </c>
      <c r="BI48" t="inlineStr">
        <is>
          <t xml:space="preserve">No </t>
        </is>
      </c>
      <c r="BJ48" t="inlineStr">
        <is>
          <t xml:space="preserve">Very important </t>
        </is>
      </c>
      <c r="BK48" t="inlineStr">
        <is>
          <t xml:space="preserve"> Partner was screened after marriage </t>
        </is>
      </c>
      <c r="BP48" t="inlineStr">
        <is>
          <t xml:space="preserve">Agree </t>
        </is>
      </c>
      <c r="BQ48" t="inlineStr">
        <is>
          <t xml:space="preserve">Yes </t>
        </is>
      </c>
      <c r="BS48" t="inlineStr">
        <is>
          <t>All</t>
        </is>
      </c>
      <c r="BT48" t="inlineStr">
        <is>
          <t>Some</t>
        </is>
      </c>
      <c r="BU48" t="inlineStr">
        <is>
          <t>Don't know</t>
        </is>
      </c>
      <c r="CD48" t="inlineStr">
        <is>
          <t xml:space="preserve">Very easy </t>
        </is>
      </c>
      <c r="CE48" t="inlineStr">
        <is>
          <t xml:space="preserve"> Very important</t>
        </is>
      </c>
      <c r="CF48" t="n">
        <v>595322353</v>
      </c>
      <c r="CG48" t="inlineStr">
        <is>
          <t>94660b96-43c2-4486-9475-abf211194441</t>
        </is>
      </c>
      <c r="CH48" s="1" t="n">
        <v>45961.56583333333</v>
      </c>
      <c r="CK48" t="inlineStr">
        <is>
          <t>submitted_via_web</t>
        </is>
      </c>
      <c r="CM48" t="inlineStr">
        <is>
          <t>vteYUDpqfKnk39PHFZkvPS</t>
        </is>
      </c>
      <c r="CO48" t="inlineStr">
        <is>
          <t>uuid:94660b96-43c2-4486-9475-abf211194441</t>
        </is>
      </c>
      <c r="CP48" t="n">
        <v>47</v>
      </c>
      <c r="CQ48" t="n">
        <v>7</v>
      </c>
      <c r="CR48" t="n">
        <v>1.244729701052259</v>
      </c>
    </row>
    <row r="49">
      <c r="A49" s="1" t="n">
        <v>45961.78721630787</v>
      </c>
      <c r="B49" s="1" t="n">
        <v>45961.80380165509</v>
      </c>
      <c r="D49" t="inlineStr">
        <is>
          <t>25</t>
        </is>
      </c>
      <c r="E49" t="inlineStr">
        <is>
          <t>Female</t>
        </is>
      </c>
      <c r="F49" t="inlineStr">
        <is>
          <t>Sinhalese</t>
        </is>
      </c>
      <c r="H49" t="inlineStr">
        <is>
          <t>Buddhist</t>
        </is>
      </c>
      <c r="J49" t="inlineStr">
        <is>
          <t>Not employed</t>
        </is>
      </c>
      <c r="L49" t="inlineStr">
        <is>
          <t xml:space="preserve">Up to A/L </t>
        </is>
      </c>
      <c r="M49" t="inlineStr">
        <is>
          <t xml:space="preserve">Central </t>
        </is>
      </c>
      <c r="N49" t="inlineStr">
        <is>
          <t>Single</t>
        </is>
      </c>
      <c r="P49" t="inlineStr">
        <is>
          <t xml:space="preserve"> Yes </t>
        </is>
      </c>
      <c r="Q49" t="inlineStr">
        <is>
          <t>Thalassemia</t>
        </is>
      </c>
      <c r="S49" t="inlineStr">
        <is>
          <t xml:space="preserve">During school/university  </t>
        </is>
      </c>
      <c r="U49" t="inlineStr">
        <is>
          <t>Yes</t>
        </is>
      </c>
      <c r="V49" t="inlineStr">
        <is>
          <t xml:space="preserve">Thalassemia major (severe form)  </t>
        </is>
      </c>
      <c r="W49" t="n">
        <v>1</v>
      </c>
      <c r="X49" t="n">
        <v>0</v>
      </c>
      <c r="Y49" t="n">
        <v>0</v>
      </c>
      <c r="Z49" t="n">
        <v>0</v>
      </c>
      <c r="AA49" t="inlineStr">
        <is>
          <t>I don’t know</t>
        </is>
      </c>
      <c r="AB49" t="n">
        <v>0</v>
      </c>
      <c r="AC49" t="n">
        <v>0</v>
      </c>
      <c r="AD49" t="n">
        <v>0</v>
      </c>
      <c r="AE49" t="n">
        <v>1</v>
      </c>
      <c r="AF49" t="inlineStr">
        <is>
          <t>Thalassemia minor or trait (carrier form)</t>
        </is>
      </c>
      <c r="AG49" t="n">
        <v>0</v>
      </c>
      <c r="AH49" t="n">
        <v>1</v>
      </c>
      <c r="AI49" t="n">
        <v>0</v>
      </c>
      <c r="AJ49" t="n">
        <v>0</v>
      </c>
      <c r="AK49" t="inlineStr">
        <is>
          <t>Don’t know</t>
        </is>
      </c>
      <c r="AL49" t="inlineStr">
        <is>
          <t>Don’t know</t>
        </is>
      </c>
      <c r="AM49" t="inlineStr">
        <is>
          <t xml:space="preserve">Can be prevented </t>
        </is>
      </c>
      <c r="AN49" t="inlineStr">
        <is>
          <t xml:space="preserve">From generation to generation (hereditary)  </t>
        </is>
      </c>
      <c r="AO49" t="inlineStr">
        <is>
          <t>Healthy</t>
        </is>
      </c>
      <c r="AP49" t="inlineStr">
        <is>
          <t xml:space="preserve">Has a chance to be affected (e.g., 25%) </t>
        </is>
      </c>
      <c r="AQ49" t="inlineStr">
        <is>
          <t>No</t>
        </is>
      </c>
      <c r="AR49" t="inlineStr">
        <is>
          <t>Don’t know</t>
        </is>
      </c>
      <c r="AS49" t="inlineStr">
        <is>
          <t xml:space="preserve">Regular blood transfusions for life </t>
        </is>
      </c>
      <c r="AT49" t="n">
        <v>1</v>
      </c>
      <c r="AU49" t="n">
        <v>0</v>
      </c>
      <c r="AV49" t="n">
        <v>0</v>
      </c>
      <c r="AW49" t="n">
        <v>0</v>
      </c>
      <c r="AX49" t="n">
        <v>0</v>
      </c>
      <c r="AY49" t="n">
        <v>0</v>
      </c>
      <c r="AZ49" t="n">
        <v>0</v>
      </c>
      <c r="BA49" t="n">
        <v>0</v>
      </c>
      <c r="BB49" t="inlineStr">
        <is>
          <t xml:space="preserve"> Get the partner tested before marriage   Get family members tested </t>
        </is>
      </c>
      <c r="BC49" t="n">
        <v>1</v>
      </c>
      <c r="BD49" t="n">
        <v>1</v>
      </c>
      <c r="BE49" t="n">
        <v>0</v>
      </c>
      <c r="BF49" t="n">
        <v>0</v>
      </c>
      <c r="BG49" t="inlineStr">
        <is>
          <t>Only found out after screening</t>
        </is>
      </c>
      <c r="BH49" t="inlineStr">
        <is>
          <t>Definitely not</t>
        </is>
      </c>
      <c r="BI49" t="inlineStr">
        <is>
          <t xml:space="preserve">No </t>
        </is>
      </c>
      <c r="BJ49" t="inlineStr">
        <is>
          <t xml:space="preserve">Very important </t>
        </is>
      </c>
      <c r="BK49" t="inlineStr">
        <is>
          <t>Other</t>
        </is>
      </c>
      <c r="BL49" t="inlineStr">
        <is>
          <t>Still not married. Will be screen before marriage</t>
        </is>
      </c>
      <c r="BM49" t="inlineStr">
        <is>
          <t>Other</t>
        </is>
      </c>
      <c r="BN49" t="inlineStr">
        <is>
          <t>Still not married. Will be screen before marriage</t>
        </is>
      </c>
      <c r="BP49" t="inlineStr">
        <is>
          <t xml:space="preserve">Agree </t>
        </is>
      </c>
      <c r="BQ49" t="inlineStr">
        <is>
          <t xml:space="preserve">Yes </t>
        </is>
      </c>
      <c r="BS49" t="inlineStr">
        <is>
          <t>All</t>
        </is>
      </c>
      <c r="BT49" t="inlineStr">
        <is>
          <t>None</t>
        </is>
      </c>
      <c r="BU49" t="inlineStr">
        <is>
          <t>None</t>
        </is>
      </c>
      <c r="BV49" t="inlineStr">
        <is>
          <t>Lack of knowledge  Fear of result</t>
        </is>
      </c>
      <c r="BW49" t="n">
        <v>1</v>
      </c>
      <c r="BX49" t="n">
        <v>0</v>
      </c>
      <c r="BY49" t="n">
        <v>1</v>
      </c>
      <c r="BZ49" t="n">
        <v>0</v>
      </c>
      <c r="CA49" t="n">
        <v>0</v>
      </c>
      <c r="CB49" t="n">
        <v>0</v>
      </c>
      <c r="CD49" t="inlineStr">
        <is>
          <t xml:space="preserve">Somewhat easy </t>
        </is>
      </c>
      <c r="CE49" t="inlineStr">
        <is>
          <t xml:space="preserve"> Very important</t>
        </is>
      </c>
      <c r="CF49" t="n">
        <v>595332625</v>
      </c>
      <c r="CG49" t="inlineStr">
        <is>
          <t>b5f84ea5-347a-4f00-a9a5-fd7e88f2656d</t>
        </is>
      </c>
      <c r="CH49" s="1" t="n">
        <v>45961.5746412037</v>
      </c>
      <c r="CK49" t="inlineStr">
        <is>
          <t>submitted_via_web</t>
        </is>
      </c>
      <c r="CM49" t="inlineStr">
        <is>
          <t>vteYUDpqfKnk39PHFZkvPS</t>
        </is>
      </c>
      <c r="CO49" t="inlineStr">
        <is>
          <t>uuid:b5f84ea5-347a-4f00-a9a5-fd7e88f2656d</t>
        </is>
      </c>
      <c r="CP49" t="n">
        <v>48</v>
      </c>
      <c r="CQ49" t="n">
        <v>2</v>
      </c>
      <c r="CR49" t="n">
        <v>-0.7068355868689896</v>
      </c>
    </row>
    <row r="50">
      <c r="A50" s="1" t="n">
        <v>45961.81086732639</v>
      </c>
      <c r="B50" s="1" t="n">
        <v>45961.82747320602</v>
      </c>
      <c r="D50" t="inlineStr">
        <is>
          <t>23</t>
        </is>
      </c>
      <c r="E50" t="inlineStr">
        <is>
          <t>Female</t>
        </is>
      </c>
      <c r="F50" t="inlineStr">
        <is>
          <t>Sinhalese</t>
        </is>
      </c>
      <c r="H50" t="inlineStr">
        <is>
          <t>Buddhist</t>
        </is>
      </c>
      <c r="J50" t="inlineStr">
        <is>
          <t>Not employed</t>
        </is>
      </c>
      <c r="L50" t="inlineStr">
        <is>
          <t xml:space="preserve">Undergraduate </t>
        </is>
      </c>
      <c r="M50" t="inlineStr">
        <is>
          <t>Western</t>
        </is>
      </c>
      <c r="N50" t="inlineStr">
        <is>
          <t>Single</t>
        </is>
      </c>
      <c r="P50" t="inlineStr">
        <is>
          <t>No</t>
        </is>
      </c>
      <c r="R50" s="1" t="n">
        <v>44449</v>
      </c>
      <c r="S50" t="inlineStr">
        <is>
          <t xml:space="preserve">During school/university  </t>
        </is>
      </c>
      <c r="U50" t="inlineStr">
        <is>
          <t>Yes</t>
        </is>
      </c>
      <c r="V50" t="inlineStr">
        <is>
          <t>I don’t know</t>
        </is>
      </c>
      <c r="W50" t="n">
        <v>0</v>
      </c>
      <c r="X50" t="n">
        <v>0</v>
      </c>
      <c r="Y50" t="n">
        <v>0</v>
      </c>
      <c r="Z50" t="n">
        <v>1</v>
      </c>
      <c r="AA50" t="inlineStr">
        <is>
          <t>I don’t know</t>
        </is>
      </c>
      <c r="AB50" t="n">
        <v>0</v>
      </c>
      <c r="AC50" t="n">
        <v>0</v>
      </c>
      <c r="AD50" t="n">
        <v>0</v>
      </c>
      <c r="AE50" t="n">
        <v>1</v>
      </c>
      <c r="AF50" t="inlineStr">
        <is>
          <t>Thalassemia minor or trait (carrier form)</t>
        </is>
      </c>
      <c r="AG50" t="n">
        <v>0</v>
      </c>
      <c r="AH50" t="n">
        <v>1</v>
      </c>
      <c r="AI50" t="n">
        <v>0</v>
      </c>
      <c r="AJ50" t="n">
        <v>0</v>
      </c>
      <c r="AK50" t="inlineStr">
        <is>
          <t>Yes</t>
        </is>
      </c>
      <c r="AL50" t="inlineStr">
        <is>
          <t>Don’t know</t>
        </is>
      </c>
      <c r="AM50" t="inlineStr">
        <is>
          <t>Cannot be prevented</t>
        </is>
      </c>
      <c r="AN50" t="inlineStr">
        <is>
          <t xml:space="preserve">From generation to generation (hereditary)  </t>
        </is>
      </c>
      <c r="AO50" t="inlineStr">
        <is>
          <t>Healthy</t>
        </is>
      </c>
      <c r="AP50" t="inlineStr">
        <is>
          <t xml:space="preserve">Has a chance to be affected (e.g., 25%) </t>
        </is>
      </c>
      <c r="AQ50" t="inlineStr">
        <is>
          <t>No</t>
        </is>
      </c>
      <c r="AR50" t="inlineStr">
        <is>
          <t>Don’t know</t>
        </is>
      </c>
      <c r="AS50" t="inlineStr">
        <is>
          <t xml:space="preserve">Regular blood transfusions for life </t>
        </is>
      </c>
      <c r="AT50" t="n">
        <v>1</v>
      </c>
      <c r="AU50" t="n">
        <v>0</v>
      </c>
      <c r="AV50" t="n">
        <v>0</v>
      </c>
      <c r="AW50" t="n">
        <v>0</v>
      </c>
      <c r="AX50" t="n">
        <v>0</v>
      </c>
      <c r="AY50" t="n">
        <v>0</v>
      </c>
      <c r="AZ50" t="n">
        <v>0</v>
      </c>
      <c r="BA50" t="n">
        <v>0</v>
      </c>
      <c r="BB50" t="inlineStr">
        <is>
          <t>I don’t know</t>
        </is>
      </c>
      <c r="BC50" t="n">
        <v>0</v>
      </c>
      <c r="BD50" t="n">
        <v>0</v>
      </c>
      <c r="BE50" t="n">
        <v>0</v>
      </c>
      <c r="BF50" t="n">
        <v>1</v>
      </c>
      <c r="BG50" t="inlineStr">
        <is>
          <t>Only found out after screening</t>
        </is>
      </c>
      <c r="BH50" t="inlineStr">
        <is>
          <t>Definitely not</t>
        </is>
      </c>
      <c r="BI50" t="inlineStr">
        <is>
          <t>Not sure</t>
        </is>
      </c>
      <c r="BJ50" t="inlineStr">
        <is>
          <t xml:space="preserve">Not sure </t>
        </is>
      </c>
      <c r="BP50" t="inlineStr">
        <is>
          <t>Don’t know</t>
        </is>
      </c>
      <c r="BQ50" t="inlineStr">
        <is>
          <t xml:space="preserve">Yes </t>
        </is>
      </c>
      <c r="BS50" t="inlineStr">
        <is>
          <t>None</t>
        </is>
      </c>
      <c r="BT50" t="inlineStr">
        <is>
          <t>None</t>
        </is>
      </c>
      <c r="BU50" t="inlineStr">
        <is>
          <t>None</t>
        </is>
      </c>
      <c r="BV50" t="inlineStr">
        <is>
          <t xml:space="preserve">Lack of knowledge </t>
        </is>
      </c>
      <c r="BW50" t="n">
        <v>1</v>
      </c>
      <c r="BX50" t="n">
        <v>0</v>
      </c>
      <c r="BY50" t="n">
        <v>0</v>
      </c>
      <c r="BZ50" t="n">
        <v>0</v>
      </c>
      <c r="CA50" t="n">
        <v>0</v>
      </c>
      <c r="CB50" t="n">
        <v>0</v>
      </c>
      <c r="CD50" t="inlineStr">
        <is>
          <t>Not sure</t>
        </is>
      </c>
      <c r="CE50" t="inlineStr">
        <is>
          <t>Not important</t>
        </is>
      </c>
      <c r="CF50" t="n">
        <v>595363156</v>
      </c>
      <c r="CG50" t="inlineStr">
        <is>
          <t>911b434e-e4c5-4e86-a03c-64060e4adea8</t>
        </is>
      </c>
      <c r="CH50" s="1" t="n">
        <v>45961.59832175926</v>
      </c>
      <c r="CK50" t="inlineStr">
        <is>
          <t>submitted_via_web</t>
        </is>
      </c>
      <c r="CM50" t="inlineStr">
        <is>
          <t>vteYUDpqfKnk39PHFZkvPS</t>
        </is>
      </c>
      <c r="CO50" t="inlineStr">
        <is>
          <t>uuid:911b434e-e4c5-4e86-a03c-64060e4adea8</t>
        </is>
      </c>
      <c r="CP50" t="n">
        <v>49</v>
      </c>
      <c r="CQ50" t="n">
        <v>1</v>
      </c>
      <c r="CR50" t="n">
        <v>-1.097148644453239</v>
      </c>
    </row>
    <row r="51">
      <c r="A51" s="1" t="n">
        <v>45961.82747409722</v>
      </c>
      <c r="B51" s="1" t="n">
        <v>45961.86279986111</v>
      </c>
      <c r="D51" t="inlineStr">
        <is>
          <t>24</t>
        </is>
      </c>
      <c r="E51" t="inlineStr">
        <is>
          <t>Female</t>
        </is>
      </c>
      <c r="F51" t="inlineStr">
        <is>
          <t>Sinhalese</t>
        </is>
      </c>
      <c r="H51" t="inlineStr">
        <is>
          <t>Buddhist</t>
        </is>
      </c>
      <c r="J51" t="inlineStr">
        <is>
          <t>Government sector</t>
        </is>
      </c>
      <c r="K51" t="inlineStr">
        <is>
          <t>51,000 – 100,000</t>
        </is>
      </c>
      <c r="L51" t="inlineStr">
        <is>
          <t xml:space="preserve">Up to A/L </t>
        </is>
      </c>
      <c r="M51" t="inlineStr">
        <is>
          <t>Western</t>
        </is>
      </c>
      <c r="N51" t="inlineStr">
        <is>
          <t>Single</t>
        </is>
      </c>
      <c r="P51" t="inlineStr">
        <is>
          <t>No</t>
        </is>
      </c>
      <c r="R51" s="1" t="n">
        <v>43763</v>
      </c>
      <c r="S51" t="inlineStr">
        <is>
          <t xml:space="preserve">During school/university  </t>
        </is>
      </c>
      <c r="U51" t="inlineStr">
        <is>
          <t>Don’t know</t>
        </is>
      </c>
      <c r="V51" t="inlineStr">
        <is>
          <t>Thalassemia major (severe form)   Thalassemia minor or trait (carrier form)</t>
        </is>
      </c>
      <c r="W51" t="n">
        <v>1</v>
      </c>
      <c r="X51" t="n">
        <v>1</v>
      </c>
      <c r="Y51" t="n">
        <v>0</v>
      </c>
      <c r="Z51" t="n">
        <v>0</v>
      </c>
      <c r="AA51" t="inlineStr">
        <is>
          <t xml:space="preserve">Thalassemia major (severe form)  </t>
        </is>
      </c>
      <c r="AB51" t="n">
        <v>1</v>
      </c>
      <c r="AC51" t="n">
        <v>0</v>
      </c>
      <c r="AD51" t="n">
        <v>0</v>
      </c>
      <c r="AE51" t="n">
        <v>0</v>
      </c>
      <c r="AF51" t="inlineStr">
        <is>
          <t>Thalassemia minor or trait (carrier form)</t>
        </is>
      </c>
      <c r="AG51" t="n">
        <v>0</v>
      </c>
      <c r="AH51" t="n">
        <v>1</v>
      </c>
      <c r="AI51" t="n">
        <v>0</v>
      </c>
      <c r="AJ51" t="n">
        <v>0</v>
      </c>
      <c r="AK51" t="inlineStr">
        <is>
          <t>Yes</t>
        </is>
      </c>
      <c r="AL51" t="inlineStr">
        <is>
          <t xml:space="preserve">Cannot be cured   </t>
        </is>
      </c>
      <c r="AM51" t="inlineStr">
        <is>
          <t xml:space="preserve">Can be prevented </t>
        </is>
      </c>
      <c r="AN51" t="inlineStr">
        <is>
          <t>Don’t know</t>
        </is>
      </c>
      <c r="AO51" t="inlineStr">
        <is>
          <t>Healthy</t>
        </is>
      </c>
      <c r="AP51" t="inlineStr">
        <is>
          <t>Don’t know</t>
        </is>
      </c>
      <c r="AQ51" t="inlineStr">
        <is>
          <t xml:space="preserve">Yes </t>
        </is>
      </c>
      <c r="AR51" t="inlineStr">
        <is>
          <t>Don’t know</t>
        </is>
      </c>
      <c r="AS51" t="inlineStr">
        <is>
          <t xml:space="preserve">Regular blood transfusions for life </t>
        </is>
      </c>
      <c r="AT51" t="n">
        <v>1</v>
      </c>
      <c r="AU51" t="n">
        <v>0</v>
      </c>
      <c r="AV51" t="n">
        <v>0</v>
      </c>
      <c r="AW51" t="n">
        <v>0</v>
      </c>
      <c r="AX51" t="n">
        <v>0</v>
      </c>
      <c r="AY51" t="n">
        <v>0</v>
      </c>
      <c r="AZ51" t="n">
        <v>0</v>
      </c>
      <c r="BA51" t="n">
        <v>0</v>
      </c>
      <c r="BB51" t="inlineStr">
        <is>
          <t xml:space="preserve"> Get the partner tested before marriage  </t>
        </is>
      </c>
      <c r="BC51" t="n">
        <v>1</v>
      </c>
      <c r="BD51" t="n">
        <v>0</v>
      </c>
      <c r="BE51" t="n">
        <v>0</v>
      </c>
      <c r="BF51" t="n">
        <v>0</v>
      </c>
      <c r="BG51" t="inlineStr">
        <is>
          <t xml:space="preserve">School  </t>
        </is>
      </c>
      <c r="BH51" t="inlineStr">
        <is>
          <t>Definitely not</t>
        </is>
      </c>
      <c r="BI51" t="inlineStr">
        <is>
          <t xml:space="preserve">No </t>
        </is>
      </c>
      <c r="BJ51" t="inlineStr">
        <is>
          <t xml:space="preserve">Very important </t>
        </is>
      </c>
      <c r="BP51" t="inlineStr">
        <is>
          <t xml:space="preserve">Agree </t>
        </is>
      </c>
      <c r="BQ51" t="inlineStr">
        <is>
          <t xml:space="preserve">Yes </t>
        </is>
      </c>
      <c r="BS51" t="inlineStr">
        <is>
          <t>Some</t>
        </is>
      </c>
      <c r="BV51" t="inlineStr">
        <is>
          <t xml:space="preserve">Lack of knowledge </t>
        </is>
      </c>
      <c r="BW51" t="n">
        <v>1</v>
      </c>
      <c r="BX51" t="n">
        <v>0</v>
      </c>
      <c r="BY51" t="n">
        <v>0</v>
      </c>
      <c r="BZ51" t="n">
        <v>0</v>
      </c>
      <c r="CA51" t="n">
        <v>0</v>
      </c>
      <c r="CB51" t="n">
        <v>0</v>
      </c>
      <c r="CD51" t="inlineStr">
        <is>
          <t xml:space="preserve">Difficult </t>
        </is>
      </c>
      <c r="CE51" t="inlineStr">
        <is>
          <t xml:space="preserve"> Very important</t>
        </is>
      </c>
      <c r="CF51" t="n">
        <v>595409344</v>
      </c>
      <c r="CG51" t="inlineStr">
        <is>
          <t>72836e63-65df-4d70-8060-10d9ed61b340</t>
        </is>
      </c>
      <c r="CH51" s="1" t="n">
        <v>45961.63365740741</v>
      </c>
      <c r="CK51" t="inlineStr">
        <is>
          <t>submitted_via_web</t>
        </is>
      </c>
      <c r="CM51" t="inlineStr">
        <is>
          <t>vteYUDpqfKnk39PHFZkvPS</t>
        </is>
      </c>
      <c r="CO51" t="inlineStr">
        <is>
          <t>uuid:72836e63-65df-4d70-8060-10d9ed61b340</t>
        </is>
      </c>
      <c r="CP51" t="n">
        <v>50</v>
      </c>
      <c r="CQ51" t="n">
        <v>3</v>
      </c>
      <c r="CR51" t="n">
        <v>-0.3165225292847399</v>
      </c>
    </row>
    <row r="52">
      <c r="A52" s="1" t="n">
        <v>45961.79499391204</v>
      </c>
      <c r="B52" s="1" t="n">
        <v>45962.42764240741</v>
      </c>
      <c r="D52" t="inlineStr">
        <is>
          <t>23</t>
        </is>
      </c>
      <c r="E52" t="inlineStr">
        <is>
          <t>Female</t>
        </is>
      </c>
      <c r="F52" t="inlineStr">
        <is>
          <t>Sinhalese</t>
        </is>
      </c>
      <c r="H52" t="inlineStr">
        <is>
          <t>Buddhist</t>
        </is>
      </c>
      <c r="J52" t="inlineStr">
        <is>
          <t>Not employed</t>
        </is>
      </c>
      <c r="L52" t="inlineStr">
        <is>
          <t xml:space="preserve">Up to A/L </t>
        </is>
      </c>
      <c r="M52" t="inlineStr">
        <is>
          <t xml:space="preserve">North Western </t>
        </is>
      </c>
      <c r="N52" t="inlineStr">
        <is>
          <t>Single</t>
        </is>
      </c>
      <c r="P52" t="inlineStr">
        <is>
          <t>No</t>
        </is>
      </c>
      <c r="R52" s="1" t="n">
        <v>45018</v>
      </c>
      <c r="S52" t="inlineStr">
        <is>
          <t xml:space="preserve">During school/university  </t>
        </is>
      </c>
      <c r="U52" t="inlineStr">
        <is>
          <t>Yes</t>
        </is>
      </c>
      <c r="V52" t="inlineStr">
        <is>
          <t>Thalassemia major (severe form)   Thalassemia minor or trait (carrier form)</t>
        </is>
      </c>
      <c r="W52" t="n">
        <v>1</v>
      </c>
      <c r="X52" t="n">
        <v>1</v>
      </c>
      <c r="Y52" t="n">
        <v>0</v>
      </c>
      <c r="Z52" t="n">
        <v>0</v>
      </c>
      <c r="AA52" t="inlineStr">
        <is>
          <t xml:space="preserve">Thalassemia major (severe form)  </t>
        </is>
      </c>
      <c r="AB52" t="n">
        <v>1</v>
      </c>
      <c r="AC52" t="n">
        <v>0</v>
      </c>
      <c r="AD52" t="n">
        <v>0</v>
      </c>
      <c r="AE52" t="n">
        <v>0</v>
      </c>
      <c r="AF52" t="inlineStr">
        <is>
          <t>Thalassemia minor or trait (carrier form)</t>
        </is>
      </c>
      <c r="AG52" t="n">
        <v>0</v>
      </c>
      <c r="AH52" t="n">
        <v>1</v>
      </c>
      <c r="AI52" t="n">
        <v>0</v>
      </c>
      <c r="AJ52" t="n">
        <v>0</v>
      </c>
      <c r="AK52" t="inlineStr">
        <is>
          <t>Yes</t>
        </is>
      </c>
      <c r="AL52" t="inlineStr">
        <is>
          <t xml:space="preserve">Cannot be cured   </t>
        </is>
      </c>
      <c r="AM52" t="inlineStr">
        <is>
          <t>Not sure</t>
        </is>
      </c>
      <c r="AN52" t="inlineStr">
        <is>
          <t>Don’t know</t>
        </is>
      </c>
      <c r="AO52" t="inlineStr">
        <is>
          <t>Healthy</t>
        </is>
      </c>
      <c r="AP52" t="inlineStr">
        <is>
          <t xml:space="preserve">Has a chance to be affected (e.g., 25%) </t>
        </is>
      </c>
      <c r="AQ52" t="inlineStr">
        <is>
          <t>No</t>
        </is>
      </c>
      <c r="AR52" t="inlineStr">
        <is>
          <t>Don’t know</t>
        </is>
      </c>
      <c r="AS52" t="inlineStr">
        <is>
          <t xml:space="preserve">Regular blood transfusions for life </t>
        </is>
      </c>
      <c r="AT52" t="n">
        <v>1</v>
      </c>
      <c r="AU52" t="n">
        <v>0</v>
      </c>
      <c r="AV52" t="n">
        <v>0</v>
      </c>
      <c r="AW52" t="n">
        <v>0</v>
      </c>
      <c r="AX52" t="n">
        <v>0</v>
      </c>
      <c r="AY52" t="n">
        <v>0</v>
      </c>
      <c r="AZ52" t="n">
        <v>0</v>
      </c>
      <c r="BA52" t="n">
        <v>0</v>
      </c>
      <c r="BB52" t="inlineStr">
        <is>
          <t xml:space="preserve">Get family members tested </t>
        </is>
      </c>
      <c r="BC52" t="n">
        <v>0</v>
      </c>
      <c r="BD52" t="n">
        <v>1</v>
      </c>
      <c r="BE52" t="n">
        <v>0</v>
      </c>
      <c r="BF52" t="n">
        <v>0</v>
      </c>
      <c r="BG52" t="inlineStr">
        <is>
          <t xml:space="preserve">School  </t>
        </is>
      </c>
      <c r="BH52" t="inlineStr">
        <is>
          <t>Definitely not</t>
        </is>
      </c>
      <c r="BI52" t="inlineStr">
        <is>
          <t xml:space="preserve">No </t>
        </is>
      </c>
      <c r="BJ52" t="inlineStr">
        <is>
          <t xml:space="preserve">Very important </t>
        </is>
      </c>
      <c r="BP52" t="inlineStr">
        <is>
          <t xml:space="preserve">Agree </t>
        </is>
      </c>
      <c r="BQ52" t="inlineStr">
        <is>
          <t xml:space="preserve">Yes </t>
        </is>
      </c>
      <c r="BS52" t="inlineStr">
        <is>
          <t>All</t>
        </is>
      </c>
      <c r="BT52" t="inlineStr">
        <is>
          <t>None</t>
        </is>
      </c>
      <c r="BU52" t="inlineStr">
        <is>
          <t>Don't know</t>
        </is>
      </c>
      <c r="CD52" t="inlineStr">
        <is>
          <t xml:space="preserve">Somewhat easy </t>
        </is>
      </c>
      <c r="CE52" t="inlineStr">
        <is>
          <t xml:space="preserve">Important </t>
        </is>
      </c>
      <c r="CF52" t="n">
        <v>595713587</v>
      </c>
      <c r="CG52" t="inlineStr">
        <is>
          <t>89861493-0b79-4e48-a22b-1f070b77ec6f</t>
        </is>
      </c>
      <c r="CH52" s="1" t="n">
        <v>45962.1984837963</v>
      </c>
      <c r="CK52" t="inlineStr">
        <is>
          <t>submitted_via_web</t>
        </is>
      </c>
      <c r="CM52" t="inlineStr">
        <is>
          <t>vteYUDpqfKnk39PHFZkvPS</t>
        </is>
      </c>
      <c r="CO52" t="inlineStr">
        <is>
          <t>uuid:89861493-0b79-4e48-a22b-1f070b77ec6f</t>
        </is>
      </c>
      <c r="CP52" t="n">
        <v>51</v>
      </c>
      <c r="CQ52" t="n">
        <v>3</v>
      </c>
      <c r="CR52" t="n">
        <v>-0.3165225292847399</v>
      </c>
    </row>
    <row r="53">
      <c r="A53" s="1" t="n">
        <v>45962.4276429051</v>
      </c>
      <c r="B53" s="1" t="n">
        <v>45962.44654334491</v>
      </c>
      <c r="D53" t="inlineStr">
        <is>
          <t>19</t>
        </is>
      </c>
      <c r="E53" t="inlineStr">
        <is>
          <t xml:space="preserve">Male </t>
        </is>
      </c>
      <c r="F53" t="inlineStr">
        <is>
          <t>Sinhalese</t>
        </is>
      </c>
      <c r="H53" t="inlineStr">
        <is>
          <t>Buddhist</t>
        </is>
      </c>
      <c r="J53" t="inlineStr">
        <is>
          <t>Not employed</t>
        </is>
      </c>
      <c r="L53" t="inlineStr">
        <is>
          <t xml:space="preserve">Up to O/L </t>
        </is>
      </c>
      <c r="M53" t="inlineStr">
        <is>
          <t xml:space="preserve">North Western </t>
        </is>
      </c>
      <c r="N53" t="inlineStr">
        <is>
          <t>Single</t>
        </is>
      </c>
      <c r="P53" t="inlineStr">
        <is>
          <t>No</t>
        </is>
      </c>
      <c r="R53" s="1" t="n">
        <v>45018</v>
      </c>
      <c r="S53" t="inlineStr">
        <is>
          <t xml:space="preserve">During school/university  </t>
        </is>
      </c>
      <c r="U53" t="inlineStr">
        <is>
          <t>Yes</t>
        </is>
      </c>
      <c r="V53" t="inlineStr">
        <is>
          <t>Thalassemia major (severe form)   Thalassemia minor or trait (carrier form)</t>
        </is>
      </c>
      <c r="W53" t="n">
        <v>1</v>
      </c>
      <c r="X53" t="n">
        <v>1</v>
      </c>
      <c r="Y53" t="n">
        <v>0</v>
      </c>
      <c r="Z53" t="n">
        <v>0</v>
      </c>
      <c r="AA53" t="inlineStr">
        <is>
          <t>I don’t know</t>
        </is>
      </c>
      <c r="AB53" t="n">
        <v>0</v>
      </c>
      <c r="AC53" t="n">
        <v>0</v>
      </c>
      <c r="AD53" t="n">
        <v>0</v>
      </c>
      <c r="AE53" t="n">
        <v>1</v>
      </c>
      <c r="AF53" t="inlineStr">
        <is>
          <t>Thalassemia minor or trait (carrier form)</t>
        </is>
      </c>
      <c r="AG53" t="n">
        <v>0</v>
      </c>
      <c r="AH53" t="n">
        <v>1</v>
      </c>
      <c r="AI53" t="n">
        <v>0</v>
      </c>
      <c r="AJ53" t="n">
        <v>0</v>
      </c>
      <c r="AK53" t="inlineStr">
        <is>
          <t>Yes</t>
        </is>
      </c>
      <c r="AL53" t="inlineStr">
        <is>
          <t xml:space="preserve">Cannot be cured   </t>
        </is>
      </c>
      <c r="AM53" t="inlineStr">
        <is>
          <t xml:space="preserve">Can be prevented </t>
        </is>
      </c>
      <c r="AN53" t="inlineStr">
        <is>
          <t xml:space="preserve">From generation to generation (hereditary)  </t>
        </is>
      </c>
      <c r="AO53" t="inlineStr">
        <is>
          <t xml:space="preserve">Not healthy  </t>
        </is>
      </c>
      <c r="AP53" t="inlineStr">
        <is>
          <t xml:space="preserve">Has a chance to be affected (e.g., 25%) </t>
        </is>
      </c>
      <c r="AQ53" t="inlineStr">
        <is>
          <t>No</t>
        </is>
      </c>
      <c r="AR53" t="inlineStr">
        <is>
          <t>Don’t know</t>
        </is>
      </c>
      <c r="BB53" t="inlineStr">
        <is>
          <t xml:space="preserve">Get family members tested </t>
        </is>
      </c>
      <c r="BC53" t="n">
        <v>0</v>
      </c>
      <c r="BD53" t="n">
        <v>1</v>
      </c>
      <c r="BE53" t="n">
        <v>0</v>
      </c>
      <c r="BF53" t="n">
        <v>0</v>
      </c>
      <c r="BG53" t="inlineStr">
        <is>
          <t>Only found out after screening</t>
        </is>
      </c>
      <c r="BH53" t="inlineStr">
        <is>
          <t>Definitely not</t>
        </is>
      </c>
      <c r="BI53" t="inlineStr">
        <is>
          <t xml:space="preserve">No </t>
        </is>
      </c>
      <c r="BJ53" t="inlineStr">
        <is>
          <t xml:space="preserve">Very important </t>
        </is>
      </c>
      <c r="BP53" t="inlineStr">
        <is>
          <t xml:space="preserve">Agree </t>
        </is>
      </c>
      <c r="BQ53" t="inlineStr">
        <is>
          <t xml:space="preserve">Yes </t>
        </is>
      </c>
      <c r="BS53" t="inlineStr">
        <is>
          <t>All</t>
        </is>
      </c>
      <c r="BT53" t="inlineStr">
        <is>
          <t>None</t>
        </is>
      </c>
      <c r="BU53" t="inlineStr">
        <is>
          <t>Don't know</t>
        </is>
      </c>
      <c r="CD53" t="inlineStr">
        <is>
          <t xml:space="preserve">Somewhat easy </t>
        </is>
      </c>
      <c r="CE53" t="inlineStr">
        <is>
          <t xml:space="preserve">Important </t>
        </is>
      </c>
      <c r="CF53" t="n">
        <v>595720146</v>
      </c>
      <c r="CG53" t="inlineStr">
        <is>
          <t>66e65b7c-fea4-4e56-b97e-cb1a0648b987</t>
        </is>
      </c>
      <c r="CH53" s="1" t="n">
        <v>45962.21739583334</v>
      </c>
      <c r="CK53" t="inlineStr">
        <is>
          <t>submitted_via_web</t>
        </is>
      </c>
      <c r="CM53" t="inlineStr">
        <is>
          <t>vteYUDpqfKnk39PHFZkvPS</t>
        </is>
      </c>
      <c r="CO53" t="inlineStr">
        <is>
          <t>uuid:66e65b7c-fea4-4e56-b97e-cb1a0648b987</t>
        </is>
      </c>
      <c r="CP53" t="n">
        <v>52</v>
      </c>
      <c r="CQ53" t="n">
        <v>2</v>
      </c>
      <c r="CR53" t="n">
        <v>-0.7068355868689896</v>
      </c>
    </row>
    <row r="54">
      <c r="A54" s="1" t="n">
        <v>45962.44654369213</v>
      </c>
      <c r="B54" s="1" t="n">
        <v>45962.49195987268</v>
      </c>
      <c r="D54" t="inlineStr">
        <is>
          <t>22</t>
        </is>
      </c>
      <c r="E54" t="inlineStr">
        <is>
          <t>Female</t>
        </is>
      </c>
      <c r="F54" t="inlineStr">
        <is>
          <t>Sinhalese</t>
        </is>
      </c>
      <c r="H54" t="inlineStr">
        <is>
          <t>Buddhist</t>
        </is>
      </c>
      <c r="J54" t="inlineStr">
        <is>
          <t>Private sector</t>
        </is>
      </c>
      <c r="K54" t="inlineStr">
        <is>
          <t>25,000 – 50,000</t>
        </is>
      </c>
      <c r="L54" t="inlineStr">
        <is>
          <t xml:space="preserve">Up to O/L </t>
        </is>
      </c>
      <c r="M54" t="inlineStr">
        <is>
          <t xml:space="preserve">North Western </t>
        </is>
      </c>
      <c r="N54" t="inlineStr">
        <is>
          <t>Single</t>
        </is>
      </c>
      <c r="P54" t="inlineStr">
        <is>
          <t>No</t>
        </is>
      </c>
      <c r="R54" s="1" t="n">
        <v>45018</v>
      </c>
      <c r="S54" t="inlineStr">
        <is>
          <t>During community screening</t>
        </is>
      </c>
      <c r="U54" t="inlineStr">
        <is>
          <t>Don’t know</t>
        </is>
      </c>
      <c r="V54" t="inlineStr">
        <is>
          <t>I don’t know</t>
        </is>
      </c>
      <c r="W54" t="n">
        <v>0</v>
      </c>
      <c r="X54" t="n">
        <v>0</v>
      </c>
      <c r="Y54" t="n">
        <v>0</v>
      </c>
      <c r="Z54" t="n">
        <v>1</v>
      </c>
      <c r="AA54" t="inlineStr">
        <is>
          <t xml:space="preserve">Thalassemia major (severe form)  </t>
        </is>
      </c>
      <c r="AB54" t="n">
        <v>1</v>
      </c>
      <c r="AC54" t="n">
        <v>0</v>
      </c>
      <c r="AD54" t="n">
        <v>0</v>
      </c>
      <c r="AE54" t="n">
        <v>0</v>
      </c>
      <c r="AF54" t="inlineStr">
        <is>
          <t>Thalassemia minor or trait (carrier form)</t>
        </is>
      </c>
      <c r="AG54" t="n">
        <v>0</v>
      </c>
      <c r="AH54" t="n">
        <v>1</v>
      </c>
      <c r="AI54" t="n">
        <v>0</v>
      </c>
      <c r="AJ54" t="n">
        <v>0</v>
      </c>
      <c r="AK54" t="inlineStr">
        <is>
          <t>Don’t know</t>
        </is>
      </c>
      <c r="AL54" t="inlineStr">
        <is>
          <t>Don’t know</t>
        </is>
      </c>
      <c r="AM54" t="inlineStr">
        <is>
          <t xml:space="preserve">Can be prevented </t>
        </is>
      </c>
      <c r="AN54" t="inlineStr">
        <is>
          <t xml:space="preserve">From generation to generation (hereditary)  </t>
        </is>
      </c>
      <c r="AO54" t="inlineStr">
        <is>
          <t>Healthy</t>
        </is>
      </c>
      <c r="AP54" t="inlineStr">
        <is>
          <t xml:space="preserve">Has a chance to be affected (e.g., 25%) </t>
        </is>
      </c>
      <c r="AQ54" t="inlineStr">
        <is>
          <t>No</t>
        </is>
      </c>
      <c r="AR54" t="inlineStr">
        <is>
          <t>Don’t know</t>
        </is>
      </c>
      <c r="AS54" t="inlineStr">
        <is>
          <t xml:space="preserve">Regular blood transfusions for life </t>
        </is>
      </c>
      <c r="AT54" t="n">
        <v>1</v>
      </c>
      <c r="AU54" t="n">
        <v>0</v>
      </c>
      <c r="AV54" t="n">
        <v>0</v>
      </c>
      <c r="AW54" t="n">
        <v>0</v>
      </c>
      <c r="AX54" t="n">
        <v>0</v>
      </c>
      <c r="AY54" t="n">
        <v>0</v>
      </c>
      <c r="AZ54" t="n">
        <v>0</v>
      </c>
      <c r="BA54" t="n">
        <v>0</v>
      </c>
      <c r="BB54" t="inlineStr">
        <is>
          <t xml:space="preserve">Get family members tested </t>
        </is>
      </c>
      <c r="BC54" t="n">
        <v>0</v>
      </c>
      <c r="BD54" t="n">
        <v>1</v>
      </c>
      <c r="BE54" t="n">
        <v>0</v>
      </c>
      <c r="BF54" t="n">
        <v>0</v>
      </c>
      <c r="BG54" t="inlineStr">
        <is>
          <t xml:space="preserve">School  </t>
        </is>
      </c>
      <c r="BH54" t="inlineStr">
        <is>
          <t>Definitely not</t>
        </is>
      </c>
      <c r="BI54" t="inlineStr">
        <is>
          <t xml:space="preserve">No </t>
        </is>
      </c>
      <c r="BJ54" t="inlineStr">
        <is>
          <t xml:space="preserve">Important </t>
        </is>
      </c>
      <c r="BP54" t="inlineStr">
        <is>
          <t xml:space="preserve">Agree </t>
        </is>
      </c>
      <c r="BQ54" t="inlineStr">
        <is>
          <t xml:space="preserve">Yes </t>
        </is>
      </c>
      <c r="BS54" t="inlineStr">
        <is>
          <t>All</t>
        </is>
      </c>
      <c r="BT54" t="inlineStr">
        <is>
          <t>None</t>
        </is>
      </c>
      <c r="BU54" t="inlineStr">
        <is>
          <t>Don't know</t>
        </is>
      </c>
      <c r="CD54" t="inlineStr">
        <is>
          <t xml:space="preserve">Somewhat easy </t>
        </is>
      </c>
      <c r="CE54" t="inlineStr">
        <is>
          <t xml:space="preserve"> Very important</t>
        </is>
      </c>
      <c r="CF54" t="n">
        <v>595737662</v>
      </c>
      <c r="CG54" t="inlineStr">
        <is>
          <t>84a1198d-3197-482b-b2c4-7e565010fea9</t>
        </is>
      </c>
      <c r="CH54" s="1" t="n">
        <v>45962.26280092593</v>
      </c>
      <c r="CK54" t="inlineStr">
        <is>
          <t>submitted_via_web</t>
        </is>
      </c>
      <c r="CM54" t="inlineStr">
        <is>
          <t>vteYUDpqfKnk39PHFZkvPS</t>
        </is>
      </c>
      <c r="CO54" t="inlineStr">
        <is>
          <t>uuid:84a1198d-3197-482b-b2c4-7e565010fea9</t>
        </is>
      </c>
      <c r="CP54" t="n">
        <v>53</v>
      </c>
      <c r="CQ54" t="n">
        <v>1</v>
      </c>
      <c r="CR54" t="n">
        <v>-1.097148644453239</v>
      </c>
    </row>
    <row r="55">
      <c r="A55" s="1" t="n">
        <v>45962.49319549769</v>
      </c>
      <c r="B55" s="1" t="n">
        <v>45962.50413597222</v>
      </c>
      <c r="D55" t="inlineStr">
        <is>
          <t>24</t>
        </is>
      </c>
      <c r="E55" t="inlineStr">
        <is>
          <t xml:space="preserve">Male </t>
        </is>
      </c>
      <c r="F55" t="inlineStr">
        <is>
          <t>Sinhalese</t>
        </is>
      </c>
      <c r="H55" t="inlineStr">
        <is>
          <t>Buddhist</t>
        </is>
      </c>
      <c r="J55" t="inlineStr">
        <is>
          <t>Not employed</t>
        </is>
      </c>
      <c r="K55" t="inlineStr">
        <is>
          <t>&lt; 25,000</t>
        </is>
      </c>
      <c r="L55" t="inlineStr">
        <is>
          <t xml:space="preserve">Undergraduate </t>
        </is>
      </c>
      <c r="M55" t="inlineStr">
        <is>
          <t>Western</t>
        </is>
      </c>
      <c r="N55" t="inlineStr">
        <is>
          <t>Single</t>
        </is>
      </c>
      <c r="P55" t="inlineStr">
        <is>
          <t>No</t>
        </is>
      </c>
      <c r="R55" s="1" t="n">
        <v>42675</v>
      </c>
      <c r="S55" t="inlineStr">
        <is>
          <t xml:space="preserve">During school/university  </t>
        </is>
      </c>
      <c r="U55" t="inlineStr">
        <is>
          <t>Yes</t>
        </is>
      </c>
      <c r="V55" t="inlineStr">
        <is>
          <t xml:space="preserve">Thalassemia major (severe form)  </t>
        </is>
      </c>
      <c r="W55" t="n">
        <v>1</v>
      </c>
      <c r="X55" t="n">
        <v>0</v>
      </c>
      <c r="Y55" t="n">
        <v>0</v>
      </c>
      <c r="Z55" t="n">
        <v>0</v>
      </c>
      <c r="AA55" t="inlineStr">
        <is>
          <t xml:space="preserve">Thalassemia major (severe form)  </t>
        </is>
      </c>
      <c r="AB55" t="n">
        <v>1</v>
      </c>
      <c r="AC55" t="n">
        <v>0</v>
      </c>
      <c r="AD55" t="n">
        <v>0</v>
      </c>
      <c r="AE55" t="n">
        <v>0</v>
      </c>
      <c r="AF55" t="inlineStr">
        <is>
          <t xml:space="preserve">Thalassemia major (severe form)  </t>
        </is>
      </c>
      <c r="AG55" t="n">
        <v>1</v>
      </c>
      <c r="AH55" t="n">
        <v>0</v>
      </c>
      <c r="AI55" t="n">
        <v>0</v>
      </c>
      <c r="AJ55" t="n">
        <v>0</v>
      </c>
      <c r="AK55" t="inlineStr">
        <is>
          <t>No</t>
        </is>
      </c>
      <c r="AL55" t="inlineStr">
        <is>
          <t xml:space="preserve">Cannot be cured   </t>
        </is>
      </c>
      <c r="AM55" t="inlineStr">
        <is>
          <t xml:space="preserve">Can be prevented </t>
        </is>
      </c>
      <c r="AN55" t="inlineStr">
        <is>
          <t xml:space="preserve">From generation to generation (hereditary)  </t>
        </is>
      </c>
      <c r="AO55" t="inlineStr">
        <is>
          <t>Healthy</t>
        </is>
      </c>
      <c r="AP55" t="inlineStr">
        <is>
          <t xml:space="preserve">Has a chance to be affected (e.g., 25%) </t>
        </is>
      </c>
      <c r="AQ55" t="inlineStr">
        <is>
          <t xml:space="preserve">Yes </t>
        </is>
      </c>
      <c r="AR55" t="inlineStr">
        <is>
          <t>Don’t know</t>
        </is>
      </c>
      <c r="AS55" t="inlineStr">
        <is>
          <t>Regular blood transfusions for life  Risk of infections from transfusions</t>
        </is>
      </c>
      <c r="AT55" t="n">
        <v>1</v>
      </c>
      <c r="AU55" t="n">
        <v>0</v>
      </c>
      <c r="AV55" t="n">
        <v>0</v>
      </c>
      <c r="AW55" t="n">
        <v>0</v>
      </c>
      <c r="AX55" t="n">
        <v>1</v>
      </c>
      <c r="AY55" t="n">
        <v>0</v>
      </c>
      <c r="AZ55" t="n">
        <v>0</v>
      </c>
      <c r="BA55" t="n">
        <v>0</v>
      </c>
      <c r="BB55" t="inlineStr">
        <is>
          <t xml:space="preserve"> Get the partner tested before marriage   Get family members tested </t>
        </is>
      </c>
      <c r="BC55" t="n">
        <v>1</v>
      </c>
      <c r="BD55" t="n">
        <v>1</v>
      </c>
      <c r="BE55" t="n">
        <v>0</v>
      </c>
      <c r="BF55" t="n">
        <v>0</v>
      </c>
      <c r="BG55" t="inlineStr">
        <is>
          <t xml:space="preserve">School  </t>
        </is>
      </c>
      <c r="BH55" t="inlineStr">
        <is>
          <t>Definitely not</t>
        </is>
      </c>
      <c r="BI55" t="inlineStr">
        <is>
          <t xml:space="preserve">No </t>
        </is>
      </c>
      <c r="BJ55" t="inlineStr">
        <is>
          <t xml:space="preserve">Very important </t>
        </is>
      </c>
      <c r="BK55" t="inlineStr">
        <is>
          <t>Partner was screened before marriage</t>
        </is>
      </c>
      <c r="BP55" t="inlineStr">
        <is>
          <t xml:space="preserve">Agree </t>
        </is>
      </c>
      <c r="BQ55" t="inlineStr">
        <is>
          <t xml:space="preserve">Yes </t>
        </is>
      </c>
      <c r="BS55" t="inlineStr">
        <is>
          <t>Some</t>
        </is>
      </c>
      <c r="CD55" t="inlineStr">
        <is>
          <t xml:space="preserve">Very easy </t>
        </is>
      </c>
      <c r="CE55" t="inlineStr">
        <is>
          <t xml:space="preserve"> Very important</t>
        </is>
      </c>
      <c r="CF55" t="n">
        <v>595742988</v>
      </c>
      <c r="CG55" t="inlineStr">
        <is>
          <t>e24b83dc-a969-49e9-b8de-8c0f36fd3475</t>
        </is>
      </c>
      <c r="CH55" s="1" t="n">
        <v>45962.275</v>
      </c>
      <c r="CK55" t="inlineStr">
        <is>
          <t>submitted_via_web</t>
        </is>
      </c>
      <c r="CM55" t="inlineStr">
        <is>
          <t>vteYUDpqfKnk39PHFZkvPS</t>
        </is>
      </c>
      <c r="CO55" t="inlineStr">
        <is>
          <t>uuid:e24b83dc-a969-49e9-b8de-8c0f36fd3475</t>
        </is>
      </c>
      <c r="CP55" t="n">
        <v>54</v>
      </c>
      <c r="CQ55" t="n">
        <v>3</v>
      </c>
      <c r="CR55" t="n">
        <v>-0.3165225292847399</v>
      </c>
    </row>
    <row r="56">
      <c r="A56" s="1" t="n">
        <v>45962.49196045139</v>
      </c>
      <c r="B56" s="1" t="n">
        <v>45962.51119756945</v>
      </c>
      <c r="D56" t="inlineStr">
        <is>
          <t>24</t>
        </is>
      </c>
      <c r="E56" t="inlineStr">
        <is>
          <t xml:space="preserve">Male </t>
        </is>
      </c>
      <c r="F56" t="inlineStr">
        <is>
          <t>Sinhalese</t>
        </is>
      </c>
      <c r="H56" t="inlineStr">
        <is>
          <t>Buddhist</t>
        </is>
      </c>
      <c r="J56" t="inlineStr">
        <is>
          <t>Government sector</t>
        </is>
      </c>
      <c r="K56" t="inlineStr">
        <is>
          <t>25,000 – 50,000</t>
        </is>
      </c>
      <c r="L56" t="inlineStr">
        <is>
          <t xml:space="preserve">Up to A/L </t>
        </is>
      </c>
      <c r="M56" t="inlineStr">
        <is>
          <t xml:space="preserve">North Western </t>
        </is>
      </c>
      <c r="N56" t="inlineStr">
        <is>
          <t>Single</t>
        </is>
      </c>
      <c r="P56" t="inlineStr">
        <is>
          <t>No</t>
        </is>
      </c>
      <c r="R56" s="1" t="n">
        <v>45018</v>
      </c>
      <c r="S56" t="inlineStr">
        <is>
          <t xml:space="preserve">During school/university  </t>
        </is>
      </c>
      <c r="U56" t="inlineStr">
        <is>
          <t>Yes</t>
        </is>
      </c>
      <c r="V56" t="inlineStr">
        <is>
          <t>I don’t know</t>
        </is>
      </c>
      <c r="W56" t="n">
        <v>0</v>
      </c>
      <c r="X56" t="n">
        <v>0</v>
      </c>
      <c r="Y56" t="n">
        <v>0</v>
      </c>
      <c r="Z56" t="n">
        <v>1</v>
      </c>
      <c r="AA56" t="inlineStr">
        <is>
          <t>I don’t know</t>
        </is>
      </c>
      <c r="AB56" t="n">
        <v>0</v>
      </c>
      <c r="AC56" t="n">
        <v>0</v>
      </c>
      <c r="AD56" t="n">
        <v>0</v>
      </c>
      <c r="AE56" t="n">
        <v>1</v>
      </c>
      <c r="AF56" t="inlineStr">
        <is>
          <t>Thalassemia minor or trait (carrier form)</t>
        </is>
      </c>
      <c r="AG56" t="n">
        <v>0</v>
      </c>
      <c r="AH56" t="n">
        <v>1</v>
      </c>
      <c r="AI56" t="n">
        <v>0</v>
      </c>
      <c r="AJ56" t="n">
        <v>0</v>
      </c>
      <c r="AK56" t="inlineStr">
        <is>
          <t>Yes</t>
        </is>
      </c>
      <c r="AL56" t="inlineStr">
        <is>
          <t>Don’t know</t>
        </is>
      </c>
      <c r="AM56" t="inlineStr">
        <is>
          <t>Not sure</t>
        </is>
      </c>
      <c r="AN56" t="inlineStr">
        <is>
          <t>Don’t know</t>
        </is>
      </c>
      <c r="AO56" t="inlineStr">
        <is>
          <t>Healthy</t>
        </is>
      </c>
      <c r="AP56" t="inlineStr">
        <is>
          <t>Always affected by thalassemia</t>
        </is>
      </c>
      <c r="AQ56" t="inlineStr">
        <is>
          <t>No</t>
        </is>
      </c>
      <c r="AR56" t="inlineStr">
        <is>
          <t>Don’t know</t>
        </is>
      </c>
      <c r="AS56" t="inlineStr">
        <is>
          <t xml:space="preserve">Regular blood transfusions for life </t>
        </is>
      </c>
      <c r="AT56" t="n">
        <v>1</v>
      </c>
      <c r="AU56" t="n">
        <v>0</v>
      </c>
      <c r="AV56" t="n">
        <v>0</v>
      </c>
      <c r="AW56" t="n">
        <v>0</v>
      </c>
      <c r="AX56" t="n">
        <v>0</v>
      </c>
      <c r="AY56" t="n">
        <v>0</v>
      </c>
      <c r="AZ56" t="n">
        <v>0</v>
      </c>
      <c r="BA56" t="n">
        <v>0</v>
      </c>
      <c r="BB56" t="inlineStr">
        <is>
          <t xml:space="preserve"> Get the partner tested before marriage   Get family members tested </t>
        </is>
      </c>
      <c r="BC56" t="n">
        <v>1</v>
      </c>
      <c r="BD56" t="n">
        <v>1</v>
      </c>
      <c r="BE56" t="n">
        <v>0</v>
      </c>
      <c r="BF56" t="n">
        <v>0</v>
      </c>
      <c r="BG56" t="inlineStr">
        <is>
          <t>Only found out after screening</t>
        </is>
      </c>
      <c r="BH56" t="inlineStr">
        <is>
          <t xml:space="preserve">Not sure </t>
        </is>
      </c>
      <c r="BI56" t="inlineStr">
        <is>
          <t>Not sure</t>
        </is>
      </c>
      <c r="BJ56" t="inlineStr">
        <is>
          <t xml:space="preserve">Important </t>
        </is>
      </c>
      <c r="BP56" t="inlineStr">
        <is>
          <t xml:space="preserve">Agree </t>
        </is>
      </c>
      <c r="BQ56" t="inlineStr">
        <is>
          <t xml:space="preserve">Yes </t>
        </is>
      </c>
      <c r="BS56" t="inlineStr">
        <is>
          <t>Some</t>
        </is>
      </c>
      <c r="BT56" t="inlineStr">
        <is>
          <t>Don't know</t>
        </is>
      </c>
      <c r="BU56" t="inlineStr">
        <is>
          <t>Don't know</t>
        </is>
      </c>
      <c r="BV56" t="inlineStr">
        <is>
          <t>Perception that screening was unnecessary</t>
        </is>
      </c>
      <c r="BW56" t="n">
        <v>0</v>
      </c>
      <c r="BX56" t="n">
        <v>0</v>
      </c>
      <c r="BY56" t="n">
        <v>0</v>
      </c>
      <c r="BZ56" t="n">
        <v>1</v>
      </c>
      <c r="CA56" t="n">
        <v>0</v>
      </c>
      <c r="CB56" t="n">
        <v>0</v>
      </c>
      <c r="CD56" t="inlineStr">
        <is>
          <t xml:space="preserve">Somewhat easy </t>
        </is>
      </c>
      <c r="CE56" t="inlineStr">
        <is>
          <t xml:space="preserve">Important </t>
        </is>
      </c>
      <c r="CF56" t="n">
        <v>595746614</v>
      </c>
      <c r="CG56" t="inlineStr">
        <is>
          <t>911d0806-e82c-4350-af82-d9a916e3ed5a</t>
        </is>
      </c>
      <c r="CH56" s="1" t="n">
        <v>45962.28202546296</v>
      </c>
      <c r="CK56" t="inlineStr">
        <is>
          <t>submitted_via_web</t>
        </is>
      </c>
      <c r="CM56" t="inlineStr">
        <is>
          <t>vteYUDpqfKnk39PHFZkvPS</t>
        </is>
      </c>
      <c r="CO56" t="inlineStr">
        <is>
          <t>uuid:911d0806-e82c-4350-af82-d9a916e3ed5a</t>
        </is>
      </c>
      <c r="CP56" t="n">
        <v>55</v>
      </c>
      <c r="CQ56" t="n">
        <v>1</v>
      </c>
      <c r="CR56" t="n">
        <v>-1.097148644453239</v>
      </c>
    </row>
    <row r="57">
      <c r="A57" s="1" t="n">
        <v>45962.5111978588</v>
      </c>
      <c r="B57" s="1" t="n">
        <v>45962.53388171296</v>
      </c>
      <c r="D57" t="inlineStr">
        <is>
          <t>26</t>
        </is>
      </c>
      <c r="E57" t="inlineStr">
        <is>
          <t>Female</t>
        </is>
      </c>
      <c r="F57" t="inlineStr">
        <is>
          <t>Sinhalese</t>
        </is>
      </c>
      <c r="H57" t="inlineStr">
        <is>
          <t>Buddhist</t>
        </is>
      </c>
      <c r="J57" t="inlineStr">
        <is>
          <t>Private sector</t>
        </is>
      </c>
      <c r="K57" t="inlineStr">
        <is>
          <t>51,000 – 100,000</t>
        </is>
      </c>
      <c r="L57" t="inlineStr">
        <is>
          <t xml:space="preserve">Graduate </t>
        </is>
      </c>
      <c r="M57" t="inlineStr">
        <is>
          <t xml:space="preserve">North Western </t>
        </is>
      </c>
      <c r="N57" t="inlineStr">
        <is>
          <t>Single</t>
        </is>
      </c>
      <c r="P57" t="inlineStr">
        <is>
          <t>No</t>
        </is>
      </c>
      <c r="R57" s="1" t="n">
        <v>45018</v>
      </c>
      <c r="S57" t="inlineStr">
        <is>
          <t>During community screening</t>
        </is>
      </c>
      <c r="U57" t="inlineStr">
        <is>
          <t>Yes</t>
        </is>
      </c>
      <c r="V57" t="inlineStr">
        <is>
          <t>Thalassemia major (severe form)   Thalassemia minor or trait (carrier form)</t>
        </is>
      </c>
      <c r="W57" t="n">
        <v>1</v>
      </c>
      <c r="X57" t="n">
        <v>1</v>
      </c>
      <c r="Y57" t="n">
        <v>0</v>
      </c>
      <c r="Z57" t="n">
        <v>0</v>
      </c>
      <c r="AA57" t="inlineStr">
        <is>
          <t>I don’t know</t>
        </is>
      </c>
      <c r="AB57" t="n">
        <v>0</v>
      </c>
      <c r="AC57" t="n">
        <v>0</v>
      </c>
      <c r="AD57" t="n">
        <v>0</v>
      </c>
      <c r="AE57" t="n">
        <v>1</v>
      </c>
      <c r="AF57" t="inlineStr">
        <is>
          <t>Thalassemia minor or trait (carrier form)</t>
        </is>
      </c>
      <c r="AG57" t="n">
        <v>0</v>
      </c>
      <c r="AH57" t="n">
        <v>1</v>
      </c>
      <c r="AI57" t="n">
        <v>0</v>
      </c>
      <c r="AJ57" t="n">
        <v>0</v>
      </c>
      <c r="AK57" t="inlineStr">
        <is>
          <t>Yes</t>
        </is>
      </c>
      <c r="AL57" t="inlineStr">
        <is>
          <t xml:space="preserve">Cannot be cured   </t>
        </is>
      </c>
      <c r="AM57" t="inlineStr">
        <is>
          <t>Cannot be prevented</t>
        </is>
      </c>
      <c r="AN57" t="inlineStr">
        <is>
          <t xml:space="preserve">From generation to generation (hereditary)  </t>
        </is>
      </c>
      <c r="AO57" t="inlineStr">
        <is>
          <t>Healthy</t>
        </is>
      </c>
      <c r="AP57" t="inlineStr">
        <is>
          <t xml:space="preserve">Has a chance to be affected (e.g., 25%) </t>
        </is>
      </c>
      <c r="AQ57" t="inlineStr">
        <is>
          <t xml:space="preserve">Yes </t>
        </is>
      </c>
      <c r="AR57" t="inlineStr">
        <is>
          <t>Don’t know</t>
        </is>
      </c>
      <c r="AS57" t="inlineStr">
        <is>
          <t>Regular blood transfusions for life  Delayed growth and puberty Risk of diabetes, infertility, and hormonal issues  Risk of infections from transfusions Frequent nosebleeds Fatigue</t>
        </is>
      </c>
      <c r="AT57" t="n">
        <v>1</v>
      </c>
      <c r="AU57" t="n">
        <v>0</v>
      </c>
      <c r="AV57" t="n">
        <v>1</v>
      </c>
      <c r="AW57" t="n">
        <v>1</v>
      </c>
      <c r="AX57" t="n">
        <v>1</v>
      </c>
      <c r="AY57" t="n">
        <v>1</v>
      </c>
      <c r="AZ57" t="n">
        <v>1</v>
      </c>
      <c r="BA57" t="n">
        <v>0</v>
      </c>
      <c r="BB57" t="inlineStr">
        <is>
          <t xml:space="preserve"> Get the partner tested before marriage   Get family members tested </t>
        </is>
      </c>
      <c r="BC57" t="n">
        <v>1</v>
      </c>
      <c r="BD57" t="n">
        <v>1</v>
      </c>
      <c r="BE57" t="n">
        <v>0</v>
      </c>
      <c r="BF57" t="n">
        <v>0</v>
      </c>
      <c r="BG57" t="inlineStr">
        <is>
          <t>Only found out after screening</t>
        </is>
      </c>
      <c r="BH57" t="inlineStr">
        <is>
          <t>Definitely not</t>
        </is>
      </c>
      <c r="BI57" t="inlineStr">
        <is>
          <t xml:space="preserve">No </t>
        </is>
      </c>
      <c r="BJ57" t="inlineStr">
        <is>
          <t xml:space="preserve">Very important </t>
        </is>
      </c>
      <c r="BP57" t="inlineStr">
        <is>
          <t xml:space="preserve">Agree </t>
        </is>
      </c>
      <c r="BQ57" t="inlineStr">
        <is>
          <t xml:space="preserve">Yes </t>
        </is>
      </c>
      <c r="BS57" t="inlineStr">
        <is>
          <t>All</t>
        </is>
      </c>
      <c r="BT57" t="inlineStr">
        <is>
          <t>Some</t>
        </is>
      </c>
      <c r="BU57" t="inlineStr">
        <is>
          <t>Don't know</t>
        </is>
      </c>
      <c r="CD57" t="inlineStr">
        <is>
          <t xml:space="preserve">Very easy </t>
        </is>
      </c>
      <c r="CE57" t="inlineStr">
        <is>
          <t xml:space="preserve"> Very important</t>
        </is>
      </c>
      <c r="CF57" t="n">
        <v>595758155</v>
      </c>
      <c r="CG57" t="inlineStr">
        <is>
          <t>0fec3e2d-2e2b-4a45-96b5-c5016183d259</t>
        </is>
      </c>
      <c r="CH57" s="1" t="n">
        <v>45962.30472222222</v>
      </c>
      <c r="CK57" t="inlineStr">
        <is>
          <t>submitted_via_web</t>
        </is>
      </c>
      <c r="CM57" t="inlineStr">
        <is>
          <t>vteYUDpqfKnk39PHFZkvPS</t>
        </is>
      </c>
      <c r="CO57" t="inlineStr">
        <is>
          <t>uuid:0fec3e2d-2e2b-4a45-96b5-c5016183d259</t>
        </is>
      </c>
      <c r="CP57" t="n">
        <v>56</v>
      </c>
      <c r="CQ57" t="n">
        <v>8</v>
      </c>
      <c r="CR57" t="n">
        <v>1.635042758636509</v>
      </c>
    </row>
    <row r="58">
      <c r="A58" s="1" t="n">
        <v>45962.53388217593</v>
      </c>
      <c r="B58" s="1" t="n">
        <v>45962.54044601852</v>
      </c>
      <c r="D58" t="inlineStr">
        <is>
          <t>24</t>
        </is>
      </c>
      <c r="E58" t="inlineStr">
        <is>
          <t xml:space="preserve">Male </t>
        </is>
      </c>
      <c r="F58" t="inlineStr">
        <is>
          <t>Sinhalese</t>
        </is>
      </c>
      <c r="H58" t="inlineStr">
        <is>
          <t>Buddhist</t>
        </is>
      </c>
      <c r="J58" t="inlineStr">
        <is>
          <t>Not employed</t>
        </is>
      </c>
      <c r="L58" t="inlineStr">
        <is>
          <t xml:space="preserve">Up to A/L </t>
        </is>
      </c>
      <c r="M58" t="inlineStr">
        <is>
          <t xml:space="preserve">North Western </t>
        </is>
      </c>
      <c r="N58" t="inlineStr">
        <is>
          <t>Single</t>
        </is>
      </c>
      <c r="P58" t="inlineStr">
        <is>
          <t>No</t>
        </is>
      </c>
      <c r="R58" s="1" t="n">
        <v>45018</v>
      </c>
      <c r="S58" t="inlineStr">
        <is>
          <t xml:space="preserve">During school/university  </t>
        </is>
      </c>
      <c r="U58" t="inlineStr">
        <is>
          <t>Yes</t>
        </is>
      </c>
      <c r="V58" t="inlineStr">
        <is>
          <t>I don’t know</t>
        </is>
      </c>
      <c r="W58" t="n">
        <v>0</v>
      </c>
      <c r="X58" t="n">
        <v>0</v>
      </c>
      <c r="Y58" t="n">
        <v>0</v>
      </c>
      <c r="Z58" t="n">
        <v>1</v>
      </c>
      <c r="AA58" t="inlineStr">
        <is>
          <t>I don’t know</t>
        </is>
      </c>
      <c r="AB58" t="n">
        <v>0</v>
      </c>
      <c r="AC58" t="n">
        <v>0</v>
      </c>
      <c r="AD58" t="n">
        <v>0</v>
      </c>
      <c r="AE58" t="n">
        <v>1</v>
      </c>
      <c r="AF58" t="inlineStr">
        <is>
          <t>Thalassemia minor or trait (carrier form)</t>
        </is>
      </c>
      <c r="AG58" t="n">
        <v>0</v>
      </c>
      <c r="AH58" t="n">
        <v>1</v>
      </c>
      <c r="AI58" t="n">
        <v>0</v>
      </c>
      <c r="AJ58" t="n">
        <v>0</v>
      </c>
      <c r="AK58" t="inlineStr">
        <is>
          <t>Don’t know</t>
        </is>
      </c>
      <c r="AL58" t="inlineStr">
        <is>
          <t xml:space="preserve">Cannot be cured   </t>
        </is>
      </c>
      <c r="AM58" t="inlineStr">
        <is>
          <t>Not sure</t>
        </is>
      </c>
      <c r="AN58" t="inlineStr">
        <is>
          <t>Don’t know</t>
        </is>
      </c>
      <c r="AO58" t="inlineStr">
        <is>
          <t>Healthy</t>
        </is>
      </c>
      <c r="AP58" t="inlineStr">
        <is>
          <t xml:space="preserve">Has a chance to be affected (e.g., 25%) </t>
        </is>
      </c>
      <c r="AQ58" t="inlineStr">
        <is>
          <t>No</t>
        </is>
      </c>
      <c r="AR58" t="inlineStr">
        <is>
          <t>Don’t know</t>
        </is>
      </c>
      <c r="AS58" t="inlineStr">
        <is>
          <t xml:space="preserve">Regular blood transfusions for life </t>
        </is>
      </c>
      <c r="AT58" t="n">
        <v>1</v>
      </c>
      <c r="AU58" t="n">
        <v>0</v>
      </c>
      <c r="AV58" t="n">
        <v>0</v>
      </c>
      <c r="AW58" t="n">
        <v>0</v>
      </c>
      <c r="AX58" t="n">
        <v>0</v>
      </c>
      <c r="AY58" t="n">
        <v>0</v>
      </c>
      <c r="AZ58" t="n">
        <v>0</v>
      </c>
      <c r="BA58" t="n">
        <v>0</v>
      </c>
      <c r="BB58" t="inlineStr">
        <is>
          <t xml:space="preserve">Get family members tested </t>
        </is>
      </c>
      <c r="BC58" t="n">
        <v>0</v>
      </c>
      <c r="BD58" t="n">
        <v>1</v>
      </c>
      <c r="BE58" t="n">
        <v>0</v>
      </c>
      <c r="BF58" t="n">
        <v>0</v>
      </c>
      <c r="BG58" t="inlineStr">
        <is>
          <t>Only found out after screening</t>
        </is>
      </c>
      <c r="BH58" t="inlineStr">
        <is>
          <t xml:space="preserve">Not sure </t>
        </is>
      </c>
      <c r="BI58" t="inlineStr">
        <is>
          <t xml:space="preserve">No </t>
        </is>
      </c>
      <c r="BJ58" t="inlineStr">
        <is>
          <t xml:space="preserve">Important </t>
        </is>
      </c>
      <c r="BP58" t="inlineStr">
        <is>
          <t xml:space="preserve">Agree </t>
        </is>
      </c>
      <c r="BQ58" t="inlineStr">
        <is>
          <t xml:space="preserve">Yes </t>
        </is>
      </c>
      <c r="BS58" t="inlineStr">
        <is>
          <t>All</t>
        </is>
      </c>
      <c r="BT58" t="inlineStr">
        <is>
          <t>None</t>
        </is>
      </c>
      <c r="BU58" t="inlineStr">
        <is>
          <t>Don't know</t>
        </is>
      </c>
      <c r="CD58" t="inlineStr">
        <is>
          <t xml:space="preserve">Somewhat easy </t>
        </is>
      </c>
      <c r="CE58" t="inlineStr">
        <is>
          <t xml:space="preserve">Important </t>
        </is>
      </c>
      <c r="CF58" t="n">
        <v>595761400</v>
      </c>
      <c r="CG58" t="inlineStr">
        <is>
          <t>d4c5bbc2-8923-4aa7-b502-bd057d917ed4</t>
        </is>
      </c>
      <c r="CH58" s="1" t="n">
        <v>45962.31142361111</v>
      </c>
      <c r="CK58" t="inlineStr">
        <is>
          <t>submitted_via_web</t>
        </is>
      </c>
      <c r="CM58" t="inlineStr">
        <is>
          <t>vteYUDpqfKnk39PHFZkvPS</t>
        </is>
      </c>
      <c r="CO58" t="inlineStr">
        <is>
          <t>uuid:d4c5bbc2-8923-4aa7-b502-bd057d917ed4</t>
        </is>
      </c>
      <c r="CP58" t="n">
        <v>57</v>
      </c>
      <c r="CQ58" t="n">
        <v>1</v>
      </c>
      <c r="CR58" t="n">
        <v>-1.097148644453239</v>
      </c>
    </row>
    <row r="59">
      <c r="A59" s="1" t="n">
        <v>45962.54044621528</v>
      </c>
      <c r="B59" s="1" t="n">
        <v>45962.63372883102</v>
      </c>
      <c r="D59" t="inlineStr">
        <is>
          <t>21</t>
        </is>
      </c>
      <c r="E59" t="inlineStr">
        <is>
          <t>Female</t>
        </is>
      </c>
      <c r="F59" t="inlineStr">
        <is>
          <t>Tamil</t>
        </is>
      </c>
      <c r="H59" t="inlineStr">
        <is>
          <t>Hindu</t>
        </is>
      </c>
      <c r="J59" t="inlineStr">
        <is>
          <t>Government sector</t>
        </is>
      </c>
      <c r="K59" t="inlineStr">
        <is>
          <t>51,000 – 100,000</t>
        </is>
      </c>
      <c r="L59" t="inlineStr">
        <is>
          <t xml:space="preserve">Up to A/L </t>
        </is>
      </c>
      <c r="M59" t="inlineStr">
        <is>
          <t xml:space="preserve">Northern </t>
        </is>
      </c>
      <c r="N59" t="inlineStr">
        <is>
          <t>Single</t>
        </is>
      </c>
      <c r="P59" t="inlineStr">
        <is>
          <t>No</t>
        </is>
      </c>
      <c r="R59" s="1" t="n">
        <v>45159</v>
      </c>
      <c r="S59" t="inlineStr">
        <is>
          <t xml:space="preserve">During school/university  </t>
        </is>
      </c>
      <c r="U59" t="inlineStr">
        <is>
          <t xml:space="preserve">No </t>
        </is>
      </c>
      <c r="V59" t="inlineStr">
        <is>
          <t>I don’t know</t>
        </is>
      </c>
      <c r="W59" t="n">
        <v>0</v>
      </c>
      <c r="X59" t="n">
        <v>0</v>
      </c>
      <c r="Y59" t="n">
        <v>0</v>
      </c>
      <c r="Z59" t="n">
        <v>1</v>
      </c>
      <c r="AA59" t="inlineStr">
        <is>
          <t>I don’t know</t>
        </is>
      </c>
      <c r="AB59" t="n">
        <v>0</v>
      </c>
      <c r="AC59" t="n">
        <v>0</v>
      </c>
      <c r="AD59" t="n">
        <v>0</v>
      </c>
      <c r="AE59" t="n">
        <v>1</v>
      </c>
      <c r="AF59" t="inlineStr">
        <is>
          <t>Thalassemia minor or trait (carrier form)</t>
        </is>
      </c>
      <c r="AG59" t="n">
        <v>0</v>
      </c>
      <c r="AH59" t="n">
        <v>1</v>
      </c>
      <c r="AI59" t="n">
        <v>0</v>
      </c>
      <c r="AJ59" t="n">
        <v>0</v>
      </c>
      <c r="AK59" t="inlineStr">
        <is>
          <t>No</t>
        </is>
      </c>
      <c r="AL59" t="inlineStr">
        <is>
          <t>Don’t know</t>
        </is>
      </c>
      <c r="AM59" t="inlineStr">
        <is>
          <t>Not sure</t>
        </is>
      </c>
      <c r="AN59" t="inlineStr">
        <is>
          <t xml:space="preserve">From generation to generation (hereditary)  </t>
        </is>
      </c>
      <c r="AO59" t="inlineStr">
        <is>
          <t>Healthy</t>
        </is>
      </c>
      <c r="AP59" t="inlineStr">
        <is>
          <t xml:space="preserve">Has a chance to be affected (e.g., 25%) </t>
        </is>
      </c>
      <c r="AR59" t="inlineStr">
        <is>
          <t>Don’t know</t>
        </is>
      </c>
      <c r="AS59" t="inlineStr">
        <is>
          <t xml:space="preserve">Regular blood transfusions for life </t>
        </is>
      </c>
      <c r="AT59" t="n">
        <v>1</v>
      </c>
      <c r="AU59" t="n">
        <v>0</v>
      </c>
      <c r="AV59" t="n">
        <v>0</v>
      </c>
      <c r="AW59" t="n">
        <v>0</v>
      </c>
      <c r="AX59" t="n">
        <v>0</v>
      </c>
      <c r="AY59" t="n">
        <v>0</v>
      </c>
      <c r="AZ59" t="n">
        <v>0</v>
      </c>
      <c r="BA59" t="n">
        <v>0</v>
      </c>
      <c r="BB59" t="inlineStr">
        <is>
          <t xml:space="preserve">Get family members tested </t>
        </is>
      </c>
      <c r="BC59" t="n">
        <v>0</v>
      </c>
      <c r="BD59" t="n">
        <v>1</v>
      </c>
      <c r="BE59" t="n">
        <v>0</v>
      </c>
      <c r="BF59" t="n">
        <v>0</v>
      </c>
      <c r="BG59" t="inlineStr">
        <is>
          <t>Only found out after screening</t>
        </is>
      </c>
      <c r="BH59" t="inlineStr">
        <is>
          <t>Definitely not</t>
        </is>
      </c>
      <c r="BI59" t="inlineStr">
        <is>
          <t xml:space="preserve">No </t>
        </is>
      </c>
      <c r="BJ59" t="inlineStr">
        <is>
          <t xml:space="preserve">Important </t>
        </is>
      </c>
      <c r="BP59" t="inlineStr">
        <is>
          <t xml:space="preserve">Agree </t>
        </is>
      </c>
      <c r="BQ59" t="inlineStr">
        <is>
          <t>No</t>
        </is>
      </c>
      <c r="BS59" t="inlineStr">
        <is>
          <t>None</t>
        </is>
      </c>
      <c r="BT59" t="inlineStr">
        <is>
          <t>Don't know</t>
        </is>
      </c>
      <c r="BU59" t="inlineStr">
        <is>
          <t>Don't know</t>
        </is>
      </c>
      <c r="BV59" t="inlineStr">
        <is>
          <t>Cost or access issues</t>
        </is>
      </c>
      <c r="BW59" t="n">
        <v>0</v>
      </c>
      <c r="BX59" t="n">
        <v>0</v>
      </c>
      <c r="BY59" t="n">
        <v>0</v>
      </c>
      <c r="BZ59" t="n">
        <v>0</v>
      </c>
      <c r="CA59" t="n">
        <v>1</v>
      </c>
      <c r="CB59" t="n">
        <v>0</v>
      </c>
      <c r="CD59" t="inlineStr">
        <is>
          <t xml:space="preserve">Difficult </t>
        </is>
      </c>
      <c r="CE59" t="inlineStr">
        <is>
          <t xml:space="preserve">Important </t>
        </is>
      </c>
      <c r="CF59" t="n">
        <v>595819575</v>
      </c>
      <c r="CG59" t="inlineStr">
        <is>
          <t>c3343582-e63a-4520-a51a-72293aebe1a1</t>
        </is>
      </c>
      <c r="CH59" s="1" t="n">
        <v>45962.40456018518</v>
      </c>
      <c r="CK59" t="inlineStr">
        <is>
          <t>submitted_via_web</t>
        </is>
      </c>
      <c r="CM59" t="inlineStr">
        <is>
          <t>vteYUDpqfKnk39PHFZkvPS</t>
        </is>
      </c>
      <c r="CO59" t="inlineStr">
        <is>
          <t>uuid:c3343582-e63a-4520-a51a-72293aebe1a1</t>
        </is>
      </c>
      <c r="CP59" t="n">
        <v>58</v>
      </c>
      <c r="CQ59" t="n">
        <v>1</v>
      </c>
      <c r="CR59" t="n">
        <v>-1.097148644453239</v>
      </c>
    </row>
    <row r="60">
      <c r="A60" s="1" t="n">
        <v>45962.63372938657</v>
      </c>
      <c r="B60" s="1" t="n">
        <v>45962.65207482639</v>
      </c>
      <c r="D60" t="inlineStr">
        <is>
          <t>36</t>
        </is>
      </c>
      <c r="E60" t="inlineStr">
        <is>
          <t xml:space="preserve">Male </t>
        </is>
      </c>
      <c r="F60" t="inlineStr">
        <is>
          <t>Sinhalese</t>
        </is>
      </c>
      <c r="H60" t="inlineStr">
        <is>
          <t>Buddhist</t>
        </is>
      </c>
      <c r="J60" t="inlineStr">
        <is>
          <t>Self-employed</t>
        </is>
      </c>
      <c r="K60" t="inlineStr">
        <is>
          <t>51,000 – 100,000</t>
        </is>
      </c>
      <c r="L60" t="inlineStr">
        <is>
          <t xml:space="preserve">Graduate </t>
        </is>
      </c>
      <c r="M60" t="inlineStr">
        <is>
          <t>Western</t>
        </is>
      </c>
      <c r="N60" t="inlineStr">
        <is>
          <t xml:space="preserve">Married </t>
        </is>
      </c>
      <c r="O60" t="inlineStr">
        <is>
          <t>No children</t>
        </is>
      </c>
      <c r="P60" t="inlineStr">
        <is>
          <t>No</t>
        </is>
      </c>
      <c r="R60" s="1" t="n">
        <v>44989</v>
      </c>
      <c r="S60" t="inlineStr">
        <is>
          <t>During community screening</t>
        </is>
      </c>
      <c r="U60" t="inlineStr">
        <is>
          <t>Yes</t>
        </is>
      </c>
      <c r="V60" t="inlineStr">
        <is>
          <t>Thalassemia major (severe form)   Thalassemia minor or trait (carrier form)</t>
        </is>
      </c>
      <c r="W60" t="n">
        <v>1</v>
      </c>
      <c r="X60" t="n">
        <v>1</v>
      </c>
      <c r="Y60" t="n">
        <v>0</v>
      </c>
      <c r="Z60" t="n">
        <v>0</v>
      </c>
      <c r="AA60" t="inlineStr">
        <is>
          <t xml:space="preserve">Thalassemia major (severe form)  </t>
        </is>
      </c>
      <c r="AB60" t="n">
        <v>1</v>
      </c>
      <c r="AC60" t="n">
        <v>0</v>
      </c>
      <c r="AD60" t="n">
        <v>0</v>
      </c>
      <c r="AE60" t="n">
        <v>0</v>
      </c>
      <c r="AF60" t="inlineStr">
        <is>
          <t>Thalassemia minor or trait (carrier form)</t>
        </is>
      </c>
      <c r="AG60" t="n">
        <v>0</v>
      </c>
      <c r="AH60" t="n">
        <v>1</v>
      </c>
      <c r="AI60" t="n">
        <v>0</v>
      </c>
      <c r="AJ60" t="n">
        <v>0</v>
      </c>
      <c r="AK60" t="inlineStr">
        <is>
          <t>Yes</t>
        </is>
      </c>
      <c r="AL60" t="inlineStr">
        <is>
          <t xml:space="preserve">Cannot be cured   </t>
        </is>
      </c>
      <c r="AM60" t="inlineStr">
        <is>
          <t xml:space="preserve">Can be prevented </t>
        </is>
      </c>
      <c r="AN60" t="inlineStr">
        <is>
          <t xml:space="preserve">From generation to generation (hereditary)  </t>
        </is>
      </c>
      <c r="AO60" t="inlineStr">
        <is>
          <t>Healthy</t>
        </is>
      </c>
      <c r="AP60" t="inlineStr">
        <is>
          <t xml:space="preserve">Has a chance to be affected (e.g., 25%) </t>
        </is>
      </c>
      <c r="AQ60" t="inlineStr">
        <is>
          <t>No</t>
        </is>
      </c>
      <c r="AR60" t="inlineStr">
        <is>
          <t>Don’t know</t>
        </is>
      </c>
      <c r="AS60" t="inlineStr">
        <is>
          <t xml:space="preserve">Regular blood transfusions for life </t>
        </is>
      </c>
      <c r="AT60" t="n">
        <v>1</v>
      </c>
      <c r="AU60" t="n">
        <v>0</v>
      </c>
      <c r="AV60" t="n">
        <v>0</v>
      </c>
      <c r="AW60" t="n">
        <v>0</v>
      </c>
      <c r="AX60" t="n">
        <v>0</v>
      </c>
      <c r="AY60" t="n">
        <v>0</v>
      </c>
      <c r="AZ60" t="n">
        <v>0</v>
      </c>
      <c r="BA60" t="n">
        <v>0</v>
      </c>
      <c r="BB60" t="inlineStr">
        <is>
          <t xml:space="preserve"> Get the partner tested before marriage   Get family members tested </t>
        </is>
      </c>
      <c r="BC60" t="n">
        <v>1</v>
      </c>
      <c r="BD60" t="n">
        <v>1</v>
      </c>
      <c r="BE60" t="n">
        <v>0</v>
      </c>
      <c r="BF60" t="n">
        <v>0</v>
      </c>
      <c r="BG60" t="inlineStr">
        <is>
          <t>Only found out after screening</t>
        </is>
      </c>
      <c r="BH60" t="inlineStr">
        <is>
          <t xml:space="preserve">Not sure </t>
        </is>
      </c>
      <c r="BI60" t="inlineStr">
        <is>
          <t xml:space="preserve">No </t>
        </is>
      </c>
      <c r="BJ60" t="inlineStr">
        <is>
          <t xml:space="preserve">Very important </t>
        </is>
      </c>
      <c r="BK60" t="inlineStr">
        <is>
          <t>Partner was screened before marriage</t>
        </is>
      </c>
      <c r="BP60" t="inlineStr">
        <is>
          <t xml:space="preserve">Agree </t>
        </is>
      </c>
      <c r="BQ60" t="inlineStr">
        <is>
          <t xml:space="preserve">Yes </t>
        </is>
      </c>
      <c r="BS60" t="inlineStr">
        <is>
          <t>All</t>
        </is>
      </c>
      <c r="BT60" t="inlineStr">
        <is>
          <t>Some</t>
        </is>
      </c>
      <c r="BU60" t="inlineStr">
        <is>
          <t>Don't know</t>
        </is>
      </c>
      <c r="CD60" t="inlineStr">
        <is>
          <t xml:space="preserve">Very easy </t>
        </is>
      </c>
      <c r="CE60" t="inlineStr">
        <is>
          <t xml:space="preserve"> Very important</t>
        </is>
      </c>
      <c r="CF60" t="n">
        <v>595833268</v>
      </c>
      <c r="CG60" t="inlineStr">
        <is>
          <t>dde92257-b3c2-4852-ae97-ed5fc4d1d197</t>
        </is>
      </c>
      <c r="CH60" s="1" t="n">
        <v>45962.42292824074</v>
      </c>
      <c r="CK60" t="inlineStr">
        <is>
          <t>submitted_via_web</t>
        </is>
      </c>
      <c r="CM60" t="inlineStr">
        <is>
          <t>vteYUDpqfKnk39PHFZkvPS</t>
        </is>
      </c>
      <c r="CO60" t="inlineStr">
        <is>
          <t>uuid:dde92257-b3c2-4852-ae97-ed5fc4d1d197</t>
        </is>
      </c>
      <c r="CP60" t="n">
        <v>59</v>
      </c>
      <c r="CQ60" t="n">
        <v>3</v>
      </c>
      <c r="CR60" t="n">
        <v>-0.3165225292847399</v>
      </c>
    </row>
    <row r="61">
      <c r="A61" s="1" t="n">
        <v>45962.65207517361</v>
      </c>
      <c r="B61" s="1" t="n">
        <v>45962.66108756945</v>
      </c>
      <c r="D61" t="inlineStr">
        <is>
          <t>29</t>
        </is>
      </c>
      <c r="E61" t="inlineStr">
        <is>
          <t>Female</t>
        </is>
      </c>
      <c r="F61" t="inlineStr">
        <is>
          <t>Sinhalese</t>
        </is>
      </c>
      <c r="H61" t="inlineStr">
        <is>
          <t>Buddhist</t>
        </is>
      </c>
      <c r="J61" t="inlineStr">
        <is>
          <t>Government sector</t>
        </is>
      </c>
      <c r="K61" t="inlineStr">
        <is>
          <t>&gt; 100,000</t>
        </is>
      </c>
      <c r="L61" t="inlineStr">
        <is>
          <t xml:space="preserve">Graduate </t>
        </is>
      </c>
      <c r="M61" t="inlineStr">
        <is>
          <t>Western</t>
        </is>
      </c>
      <c r="N61" t="inlineStr">
        <is>
          <t>Single</t>
        </is>
      </c>
      <c r="P61" t="inlineStr">
        <is>
          <t xml:space="preserve"> Yes </t>
        </is>
      </c>
      <c r="Q61" t="inlineStr">
        <is>
          <t>One cousin with Thalassemia major</t>
        </is>
      </c>
      <c r="R61" s="1" t="n">
        <v>44988</v>
      </c>
      <c r="S61" t="inlineStr">
        <is>
          <t>During community screening</t>
        </is>
      </c>
      <c r="U61" t="inlineStr">
        <is>
          <t>Yes</t>
        </is>
      </c>
      <c r="V61" t="inlineStr">
        <is>
          <t>Thalassemia major (severe form)   Thalassemia minor or trait (carrier form)</t>
        </is>
      </c>
      <c r="W61" t="n">
        <v>1</v>
      </c>
      <c r="X61" t="n">
        <v>1</v>
      </c>
      <c r="Y61" t="n">
        <v>0</v>
      </c>
      <c r="Z61" t="n">
        <v>0</v>
      </c>
      <c r="AA61" t="inlineStr">
        <is>
          <t xml:space="preserve">Thalassemia major (severe form)  </t>
        </is>
      </c>
      <c r="AB61" t="n">
        <v>1</v>
      </c>
      <c r="AC61" t="n">
        <v>0</v>
      </c>
      <c r="AD61" t="n">
        <v>0</v>
      </c>
      <c r="AE61" t="n">
        <v>0</v>
      </c>
      <c r="AF61" t="inlineStr">
        <is>
          <t>Thalassemia minor or trait (carrier form)</t>
        </is>
      </c>
      <c r="AG61" t="n">
        <v>0</v>
      </c>
      <c r="AH61" t="n">
        <v>1</v>
      </c>
      <c r="AI61" t="n">
        <v>0</v>
      </c>
      <c r="AJ61" t="n">
        <v>0</v>
      </c>
      <c r="AK61" t="inlineStr">
        <is>
          <t>Yes</t>
        </is>
      </c>
      <c r="AL61" t="inlineStr">
        <is>
          <t xml:space="preserve">Cannot be cured   </t>
        </is>
      </c>
      <c r="AM61" t="inlineStr">
        <is>
          <t xml:space="preserve">Can be prevented </t>
        </is>
      </c>
      <c r="AN61" t="inlineStr">
        <is>
          <t xml:space="preserve">From generation to generation (hereditary)  </t>
        </is>
      </c>
      <c r="AO61" t="inlineStr">
        <is>
          <t>Healthy</t>
        </is>
      </c>
      <c r="AP61" t="inlineStr">
        <is>
          <t xml:space="preserve">Has a chance to be affected (e.g., 25%) </t>
        </is>
      </c>
      <c r="AQ61" t="inlineStr">
        <is>
          <t>No</t>
        </is>
      </c>
      <c r="AR61" t="inlineStr">
        <is>
          <t>Don’t know</t>
        </is>
      </c>
      <c r="AS61" t="inlineStr">
        <is>
          <t>Regular blood transfusions for life  Iron overload affecting heart and liver  Delayed growth and puberty Risk of infections from transfusions Frequent nosebleeds Fatigue</t>
        </is>
      </c>
      <c r="AT61" t="n">
        <v>1</v>
      </c>
      <c r="AU61" t="n">
        <v>1</v>
      </c>
      <c r="AV61" t="n">
        <v>1</v>
      </c>
      <c r="AW61" t="n">
        <v>0</v>
      </c>
      <c r="AX61" t="n">
        <v>1</v>
      </c>
      <c r="AY61" t="n">
        <v>1</v>
      </c>
      <c r="AZ61" t="n">
        <v>1</v>
      </c>
      <c r="BA61" t="n">
        <v>0</v>
      </c>
      <c r="BB61" t="inlineStr">
        <is>
          <t xml:space="preserve"> Get the partner tested before marriage   Get family members tested </t>
        </is>
      </c>
      <c r="BC61" t="n">
        <v>1</v>
      </c>
      <c r="BD61" t="n">
        <v>1</v>
      </c>
      <c r="BE61" t="n">
        <v>0</v>
      </c>
      <c r="BF61" t="n">
        <v>0</v>
      </c>
      <c r="BG61" t="inlineStr">
        <is>
          <t xml:space="preserve">Family </t>
        </is>
      </c>
      <c r="BH61" t="inlineStr">
        <is>
          <t xml:space="preserve">Not sure </t>
        </is>
      </c>
      <c r="BI61" t="inlineStr">
        <is>
          <t xml:space="preserve">No </t>
        </is>
      </c>
      <c r="BJ61" t="inlineStr">
        <is>
          <t xml:space="preserve">Important </t>
        </is>
      </c>
      <c r="BP61" t="inlineStr">
        <is>
          <t xml:space="preserve">Agree </t>
        </is>
      </c>
      <c r="BQ61" t="inlineStr">
        <is>
          <t xml:space="preserve">Yes </t>
        </is>
      </c>
      <c r="BS61" t="inlineStr">
        <is>
          <t>All</t>
        </is>
      </c>
      <c r="BT61" t="inlineStr">
        <is>
          <t>Some</t>
        </is>
      </c>
      <c r="BU61" t="inlineStr">
        <is>
          <t>Don't know</t>
        </is>
      </c>
      <c r="CD61" t="inlineStr">
        <is>
          <t xml:space="preserve">Somewhat easy </t>
        </is>
      </c>
      <c r="CE61" t="inlineStr">
        <is>
          <t xml:space="preserve"> Very important</t>
        </is>
      </c>
      <c r="CF61" t="n">
        <v>595839018</v>
      </c>
      <c r="CG61" t="inlineStr">
        <is>
          <t>91cc4440-ae99-49f1-9003-da4572d58384</t>
        </is>
      </c>
      <c r="CH61" s="1" t="n">
        <v>45962.43192129629</v>
      </c>
      <c r="CK61" t="inlineStr">
        <is>
          <t>submitted_via_web</t>
        </is>
      </c>
      <c r="CM61" t="inlineStr">
        <is>
          <t>vteYUDpqfKnk39PHFZkvPS</t>
        </is>
      </c>
      <c r="CO61" t="inlineStr">
        <is>
          <t>uuid:91cc4440-ae99-49f1-9003-da4572d58384</t>
        </is>
      </c>
      <c r="CP61" t="n">
        <v>60</v>
      </c>
      <c r="CQ61" t="n">
        <v>8</v>
      </c>
      <c r="CR61" t="n">
        <v>1.635042758636509</v>
      </c>
    </row>
    <row r="62">
      <c r="A62" s="1" t="n">
        <v>45962.66108790509</v>
      </c>
      <c r="B62" s="1" t="n">
        <v>45962.71650925926</v>
      </c>
      <c r="D62" t="inlineStr">
        <is>
          <t>53</t>
        </is>
      </c>
      <c r="E62" t="inlineStr">
        <is>
          <t xml:space="preserve">Male </t>
        </is>
      </c>
      <c r="F62" t="inlineStr">
        <is>
          <t>Sinhalese</t>
        </is>
      </c>
      <c r="H62" t="inlineStr">
        <is>
          <t>Buddhist</t>
        </is>
      </c>
      <c r="J62" t="inlineStr">
        <is>
          <t>Self-employed</t>
        </is>
      </c>
      <c r="K62" t="inlineStr">
        <is>
          <t>51,000 – 100,000</t>
        </is>
      </c>
      <c r="L62" t="inlineStr">
        <is>
          <t xml:space="preserve">Up to O/L </t>
        </is>
      </c>
      <c r="M62" t="inlineStr">
        <is>
          <t xml:space="preserve">North Western </t>
        </is>
      </c>
      <c r="N62" t="inlineStr">
        <is>
          <t xml:space="preserve">Married </t>
        </is>
      </c>
      <c r="O62" t="inlineStr">
        <is>
          <t xml:space="preserve">Yes, more than one child </t>
        </is>
      </c>
      <c r="P62" t="inlineStr">
        <is>
          <t>No</t>
        </is>
      </c>
      <c r="R62" s="1" t="n">
        <v>45046</v>
      </c>
      <c r="S62" t="inlineStr">
        <is>
          <t>Referral by a doctor</t>
        </is>
      </c>
      <c r="U62" t="inlineStr">
        <is>
          <t>Yes</t>
        </is>
      </c>
      <c r="V62" t="inlineStr">
        <is>
          <t>Thalassemia major (severe form)   Thalassemia minor or trait (carrier form)</t>
        </is>
      </c>
      <c r="W62" t="n">
        <v>1</v>
      </c>
      <c r="X62" t="n">
        <v>1</v>
      </c>
      <c r="Y62" t="n">
        <v>0</v>
      </c>
      <c r="Z62" t="n">
        <v>0</v>
      </c>
      <c r="AA62" t="inlineStr">
        <is>
          <t xml:space="preserve">Thalassemia major (severe form)  </t>
        </is>
      </c>
      <c r="AB62" t="n">
        <v>1</v>
      </c>
      <c r="AC62" t="n">
        <v>0</v>
      </c>
      <c r="AD62" t="n">
        <v>0</v>
      </c>
      <c r="AE62" t="n">
        <v>0</v>
      </c>
      <c r="AF62" t="inlineStr">
        <is>
          <t>Thalassemia minor or trait (carrier form)</t>
        </is>
      </c>
      <c r="AG62" t="n">
        <v>0</v>
      </c>
      <c r="AH62" t="n">
        <v>1</v>
      </c>
      <c r="AI62" t="n">
        <v>0</v>
      </c>
      <c r="AJ62" t="n">
        <v>0</v>
      </c>
      <c r="AK62" t="inlineStr">
        <is>
          <t>Don’t know</t>
        </is>
      </c>
      <c r="AL62" t="inlineStr">
        <is>
          <t>Don’t know</t>
        </is>
      </c>
      <c r="AM62" t="inlineStr">
        <is>
          <t xml:space="preserve">Can be prevented </t>
        </is>
      </c>
      <c r="AN62" t="inlineStr">
        <is>
          <t xml:space="preserve">From generation to generation (hereditary)  </t>
        </is>
      </c>
      <c r="AO62" t="inlineStr">
        <is>
          <t>Healthy</t>
        </is>
      </c>
      <c r="AP62" t="inlineStr">
        <is>
          <t>Always affected by thalassemia</t>
        </is>
      </c>
      <c r="AQ62" t="inlineStr">
        <is>
          <t>No</t>
        </is>
      </c>
      <c r="AR62" t="inlineStr">
        <is>
          <t>Don’t know</t>
        </is>
      </c>
      <c r="AS62" t="inlineStr">
        <is>
          <t xml:space="preserve">Regular blood transfusions for life </t>
        </is>
      </c>
      <c r="AT62" t="n">
        <v>1</v>
      </c>
      <c r="AU62" t="n">
        <v>0</v>
      </c>
      <c r="AV62" t="n">
        <v>0</v>
      </c>
      <c r="AW62" t="n">
        <v>0</v>
      </c>
      <c r="AX62" t="n">
        <v>0</v>
      </c>
      <c r="AY62" t="n">
        <v>0</v>
      </c>
      <c r="AZ62" t="n">
        <v>0</v>
      </c>
      <c r="BA62" t="n">
        <v>0</v>
      </c>
      <c r="BB62" t="inlineStr">
        <is>
          <t xml:space="preserve"> Get the partner tested before marriage   Get family members tested </t>
        </is>
      </c>
      <c r="BC62" t="n">
        <v>1</v>
      </c>
      <c r="BD62" t="n">
        <v>1</v>
      </c>
      <c r="BE62" t="n">
        <v>0</v>
      </c>
      <c r="BF62" t="n">
        <v>0</v>
      </c>
      <c r="BG62" t="inlineStr">
        <is>
          <t>Only found out after screening</t>
        </is>
      </c>
      <c r="BH62" t="inlineStr">
        <is>
          <t xml:space="preserve">Not sure </t>
        </is>
      </c>
      <c r="BI62" t="inlineStr">
        <is>
          <t>Not sure</t>
        </is>
      </c>
      <c r="BJ62" t="inlineStr">
        <is>
          <t xml:space="preserve">Very important </t>
        </is>
      </c>
      <c r="BK62" t="inlineStr">
        <is>
          <t xml:space="preserve"> Partner was screened after marriage </t>
        </is>
      </c>
      <c r="BP62" t="inlineStr">
        <is>
          <t xml:space="preserve">Agree </t>
        </is>
      </c>
      <c r="BQ62" t="inlineStr">
        <is>
          <t xml:space="preserve">Yes </t>
        </is>
      </c>
      <c r="BS62" t="inlineStr">
        <is>
          <t>Some</t>
        </is>
      </c>
      <c r="BT62" t="inlineStr">
        <is>
          <t>Some</t>
        </is>
      </c>
      <c r="BU62" t="inlineStr">
        <is>
          <t>Don't know</t>
        </is>
      </c>
      <c r="CD62" t="inlineStr">
        <is>
          <t xml:space="preserve">Somewhat easy </t>
        </is>
      </c>
      <c r="CE62" t="inlineStr">
        <is>
          <t xml:space="preserve"> Very important</t>
        </is>
      </c>
      <c r="CF62" t="n">
        <v>595882936</v>
      </c>
      <c r="CG62" t="inlineStr">
        <is>
          <t>bdcd3b5a-6455-43b9-b23b-9d88975a8ea1</t>
        </is>
      </c>
      <c r="CH62" s="1" t="n">
        <v>45962.48734953703</v>
      </c>
      <c r="CK62" t="inlineStr">
        <is>
          <t>submitted_via_web</t>
        </is>
      </c>
      <c r="CM62" t="inlineStr">
        <is>
          <t>vteYUDpqfKnk39PHFZkvPS</t>
        </is>
      </c>
      <c r="CO62" t="inlineStr">
        <is>
          <t>uuid:bdcd3b5a-6455-43b9-b23b-9d88975a8ea1</t>
        </is>
      </c>
      <c r="CP62" t="n">
        <v>61</v>
      </c>
      <c r="CQ62" t="n">
        <v>3</v>
      </c>
      <c r="CR62" t="n">
        <v>-0.3165225292847399</v>
      </c>
    </row>
    <row r="63">
      <c r="A63" s="1" t="n">
        <v>45962.71650945602</v>
      </c>
      <c r="B63" s="1" t="n">
        <v>45962.7191450463</v>
      </c>
      <c r="D63" t="inlineStr">
        <is>
          <t>29</t>
        </is>
      </c>
      <c r="E63" t="inlineStr">
        <is>
          <t>Female</t>
        </is>
      </c>
      <c r="F63" t="inlineStr">
        <is>
          <t>Sinhalese</t>
        </is>
      </c>
      <c r="H63" t="inlineStr">
        <is>
          <t>Christian</t>
        </is>
      </c>
      <c r="J63" t="inlineStr">
        <is>
          <t>Not employed</t>
        </is>
      </c>
      <c r="L63" t="inlineStr">
        <is>
          <t xml:space="preserve">Graduate </t>
        </is>
      </c>
      <c r="M63" t="inlineStr">
        <is>
          <t>Western</t>
        </is>
      </c>
      <c r="N63" t="inlineStr">
        <is>
          <t>Single</t>
        </is>
      </c>
      <c r="P63" t="inlineStr">
        <is>
          <t xml:space="preserve"> Yes </t>
        </is>
      </c>
      <c r="Q63" t="inlineStr">
        <is>
          <t>Thalassemia trait</t>
        </is>
      </c>
      <c r="R63" s="1" t="n">
        <v>44896</v>
      </c>
      <c r="S63" t="inlineStr">
        <is>
          <t xml:space="preserve">During school/university  </t>
        </is>
      </c>
      <c r="U63" t="inlineStr">
        <is>
          <t>Yes</t>
        </is>
      </c>
      <c r="V63" t="inlineStr">
        <is>
          <t>Thalassemia major (severe form)   Thalassemia minor or trait (carrier form)</t>
        </is>
      </c>
      <c r="W63" t="n">
        <v>1</v>
      </c>
      <c r="X63" t="n">
        <v>1</v>
      </c>
      <c r="Y63" t="n">
        <v>0</v>
      </c>
      <c r="Z63" t="n">
        <v>0</v>
      </c>
      <c r="AA63" t="inlineStr">
        <is>
          <t xml:space="preserve">Thalassemia major (severe form)  </t>
        </is>
      </c>
      <c r="AB63" t="n">
        <v>1</v>
      </c>
      <c r="AC63" t="n">
        <v>0</v>
      </c>
      <c r="AD63" t="n">
        <v>0</v>
      </c>
      <c r="AE63" t="n">
        <v>0</v>
      </c>
      <c r="AF63" t="inlineStr">
        <is>
          <t>Thalassemia minor or trait (carrier form)</t>
        </is>
      </c>
      <c r="AG63" t="n">
        <v>0</v>
      </c>
      <c r="AH63" t="n">
        <v>1</v>
      </c>
      <c r="AI63" t="n">
        <v>0</v>
      </c>
      <c r="AJ63" t="n">
        <v>0</v>
      </c>
      <c r="AK63" t="inlineStr">
        <is>
          <t>Yes</t>
        </is>
      </c>
      <c r="AL63" t="inlineStr">
        <is>
          <t xml:space="preserve">Cannot be cured   </t>
        </is>
      </c>
      <c r="AM63" t="inlineStr">
        <is>
          <t xml:space="preserve">Can be prevented </t>
        </is>
      </c>
      <c r="AN63" t="inlineStr">
        <is>
          <t xml:space="preserve">From generation to generation (hereditary)  </t>
        </is>
      </c>
      <c r="AO63" t="inlineStr">
        <is>
          <t>Healthy</t>
        </is>
      </c>
      <c r="AP63" t="inlineStr">
        <is>
          <t xml:space="preserve">Has a chance to be affected (e.g., 25%) </t>
        </is>
      </c>
      <c r="AR63" t="inlineStr">
        <is>
          <t>Don’t know</t>
        </is>
      </c>
      <c r="AS63" t="inlineStr">
        <is>
          <t>Regular blood transfusions for life  Iron overload affecting heart and liver  Delayed growth and puberty</t>
        </is>
      </c>
      <c r="AT63" t="n">
        <v>1</v>
      </c>
      <c r="AU63" t="n">
        <v>1</v>
      </c>
      <c r="AV63" t="n">
        <v>1</v>
      </c>
      <c r="AW63" t="n">
        <v>0</v>
      </c>
      <c r="AX63" t="n">
        <v>0</v>
      </c>
      <c r="AY63" t="n">
        <v>0</v>
      </c>
      <c r="AZ63" t="n">
        <v>0</v>
      </c>
      <c r="BA63" t="n">
        <v>0</v>
      </c>
      <c r="BB63" t="inlineStr">
        <is>
          <t xml:space="preserve"> Get the partner tested before marriage   Get family members tested </t>
        </is>
      </c>
      <c r="BC63" t="n">
        <v>1</v>
      </c>
      <c r="BD63" t="n">
        <v>1</v>
      </c>
      <c r="BE63" t="n">
        <v>0</v>
      </c>
      <c r="BF63" t="n">
        <v>0</v>
      </c>
      <c r="BG63" t="inlineStr">
        <is>
          <t xml:space="preserve">Healthcare staff (doctors and nurses) </t>
        </is>
      </c>
      <c r="BH63" t="inlineStr">
        <is>
          <t>Definitely not</t>
        </is>
      </c>
      <c r="BI63" t="inlineStr">
        <is>
          <t xml:space="preserve">No </t>
        </is>
      </c>
      <c r="BJ63" t="inlineStr">
        <is>
          <t xml:space="preserve">Very important </t>
        </is>
      </c>
      <c r="BP63" t="inlineStr">
        <is>
          <t xml:space="preserve">Agree </t>
        </is>
      </c>
      <c r="BQ63" t="inlineStr">
        <is>
          <t xml:space="preserve">Yes </t>
        </is>
      </c>
      <c r="BS63" t="inlineStr">
        <is>
          <t>All</t>
        </is>
      </c>
      <c r="BT63" t="inlineStr">
        <is>
          <t>Some</t>
        </is>
      </c>
      <c r="BU63" t="inlineStr">
        <is>
          <t>Don't know</t>
        </is>
      </c>
      <c r="CD63" t="inlineStr">
        <is>
          <t xml:space="preserve">Very easy </t>
        </is>
      </c>
      <c r="CE63" t="inlineStr">
        <is>
          <t xml:space="preserve"> Very important</t>
        </is>
      </c>
      <c r="CF63" t="n">
        <v>595885014</v>
      </c>
      <c r="CG63" t="inlineStr">
        <is>
          <t>6f01d9f3-19b2-4b44-8177-7fa6cd619e1a</t>
        </is>
      </c>
      <c r="CH63" s="1" t="n">
        <v>45962.48997685185</v>
      </c>
      <c r="CK63" t="inlineStr">
        <is>
          <t>submitted_via_web</t>
        </is>
      </c>
      <c r="CM63" t="inlineStr">
        <is>
          <t>vteYUDpqfKnk39PHFZkvPS</t>
        </is>
      </c>
      <c r="CO63" t="inlineStr">
        <is>
          <t>uuid:6f01d9f3-19b2-4b44-8177-7fa6cd619e1a</t>
        </is>
      </c>
      <c r="CP63" t="n">
        <v>62</v>
      </c>
      <c r="CQ63" t="n">
        <v>5</v>
      </c>
      <c r="CR63" t="n">
        <v>0.4641035858837596</v>
      </c>
    </row>
    <row r="64">
      <c r="A64" s="1" t="n">
        <v>45962.71914524306</v>
      </c>
      <c r="B64" s="1" t="n">
        <v>45962.73104997685</v>
      </c>
      <c r="D64" t="inlineStr">
        <is>
          <t>52</t>
        </is>
      </c>
      <c r="E64" t="inlineStr">
        <is>
          <t>Female</t>
        </is>
      </c>
      <c r="F64" t="inlineStr">
        <is>
          <t>Sinhalese</t>
        </is>
      </c>
      <c r="H64" t="inlineStr">
        <is>
          <t>Buddhist</t>
        </is>
      </c>
      <c r="J64" t="inlineStr">
        <is>
          <t>Not employed</t>
        </is>
      </c>
      <c r="L64" t="inlineStr">
        <is>
          <t xml:space="preserve">Up to O/L </t>
        </is>
      </c>
      <c r="M64" t="inlineStr">
        <is>
          <t xml:space="preserve">North Western </t>
        </is>
      </c>
      <c r="N64" t="inlineStr">
        <is>
          <t xml:space="preserve">Married </t>
        </is>
      </c>
      <c r="O64" t="inlineStr">
        <is>
          <t xml:space="preserve">Yes, more than one child </t>
        </is>
      </c>
      <c r="P64" t="inlineStr">
        <is>
          <t xml:space="preserve"> Yes </t>
        </is>
      </c>
      <c r="Q64" t="inlineStr">
        <is>
          <t>Thalassemia trait</t>
        </is>
      </c>
      <c r="R64" s="1" t="n">
        <v>45046</v>
      </c>
      <c r="S64" t="inlineStr">
        <is>
          <t>Referral by a doctor</t>
        </is>
      </c>
      <c r="U64" t="inlineStr">
        <is>
          <t>Yes</t>
        </is>
      </c>
      <c r="V64" t="inlineStr">
        <is>
          <t>I don’t know</t>
        </is>
      </c>
      <c r="W64" t="n">
        <v>0</v>
      </c>
      <c r="X64" t="n">
        <v>0</v>
      </c>
      <c r="Y64" t="n">
        <v>0</v>
      </c>
      <c r="Z64" t="n">
        <v>1</v>
      </c>
      <c r="AA64" t="inlineStr">
        <is>
          <t>I don’t know</t>
        </is>
      </c>
      <c r="AB64" t="n">
        <v>0</v>
      </c>
      <c r="AC64" t="n">
        <v>0</v>
      </c>
      <c r="AD64" t="n">
        <v>0</v>
      </c>
      <c r="AE64" t="n">
        <v>1</v>
      </c>
      <c r="AF64" t="inlineStr">
        <is>
          <t>Thalassemia minor or trait (carrier form)</t>
        </is>
      </c>
      <c r="AG64" t="n">
        <v>0</v>
      </c>
      <c r="AH64" t="n">
        <v>1</v>
      </c>
      <c r="AI64" t="n">
        <v>0</v>
      </c>
      <c r="AJ64" t="n">
        <v>0</v>
      </c>
      <c r="AK64" t="inlineStr">
        <is>
          <t>Don’t know</t>
        </is>
      </c>
      <c r="AL64" t="inlineStr">
        <is>
          <t xml:space="preserve">Cannot be cured   </t>
        </is>
      </c>
      <c r="AM64" t="inlineStr">
        <is>
          <t xml:space="preserve">Can be prevented </t>
        </is>
      </c>
      <c r="AN64" t="inlineStr">
        <is>
          <t xml:space="preserve">From generation to generation (hereditary)  </t>
        </is>
      </c>
      <c r="AO64" t="inlineStr">
        <is>
          <t xml:space="preserve">Not healthy  </t>
        </is>
      </c>
      <c r="AP64" t="inlineStr">
        <is>
          <t xml:space="preserve">Has a chance to be affected (e.g., 25%) </t>
        </is>
      </c>
      <c r="AQ64" t="inlineStr">
        <is>
          <t>No</t>
        </is>
      </c>
      <c r="AR64" t="inlineStr">
        <is>
          <t>Don’t know</t>
        </is>
      </c>
      <c r="AS64" t="inlineStr">
        <is>
          <t>Regular blood transfusions for life  Frequent nosebleeds Fatigue Bone deformities</t>
        </is>
      </c>
      <c r="AT64" t="n">
        <v>1</v>
      </c>
      <c r="AU64" t="n">
        <v>0</v>
      </c>
      <c r="AV64" t="n">
        <v>0</v>
      </c>
      <c r="AW64" t="n">
        <v>0</v>
      </c>
      <c r="AX64" t="n">
        <v>0</v>
      </c>
      <c r="AY64" t="n">
        <v>1</v>
      </c>
      <c r="AZ64" t="n">
        <v>1</v>
      </c>
      <c r="BA64" t="n">
        <v>1</v>
      </c>
      <c r="BB64" t="inlineStr">
        <is>
          <t xml:space="preserve">Get family members tested </t>
        </is>
      </c>
      <c r="BC64" t="n">
        <v>0</v>
      </c>
      <c r="BD64" t="n">
        <v>1</v>
      </c>
      <c r="BE64" t="n">
        <v>0</v>
      </c>
      <c r="BF64" t="n">
        <v>0</v>
      </c>
      <c r="BG64" t="inlineStr">
        <is>
          <t xml:space="preserve">Family </t>
        </is>
      </c>
      <c r="BH64" t="inlineStr">
        <is>
          <t xml:space="preserve">Not sure </t>
        </is>
      </c>
      <c r="BI64" t="inlineStr">
        <is>
          <t>Not sure</t>
        </is>
      </c>
      <c r="BJ64" t="inlineStr">
        <is>
          <t xml:space="preserve">Very important </t>
        </is>
      </c>
      <c r="BK64" t="inlineStr">
        <is>
          <t xml:space="preserve"> Partner was screened after marriage </t>
        </is>
      </c>
      <c r="BP64" t="inlineStr">
        <is>
          <t xml:space="preserve">Agree </t>
        </is>
      </c>
      <c r="BQ64" t="inlineStr">
        <is>
          <t xml:space="preserve">Yes </t>
        </is>
      </c>
      <c r="BS64" t="inlineStr">
        <is>
          <t>All</t>
        </is>
      </c>
      <c r="BT64" t="inlineStr">
        <is>
          <t>Some</t>
        </is>
      </c>
      <c r="BU64" t="inlineStr">
        <is>
          <t>Don't know</t>
        </is>
      </c>
      <c r="CD64" t="inlineStr">
        <is>
          <t xml:space="preserve">Very easy </t>
        </is>
      </c>
      <c r="CE64" t="inlineStr">
        <is>
          <t xml:space="preserve">Important </t>
        </is>
      </c>
      <c r="CF64" t="n">
        <v>595896212</v>
      </c>
      <c r="CG64" t="inlineStr">
        <is>
          <t>3fa11c19-6060-4d52-8433-dc1667ac95be</t>
        </is>
      </c>
      <c r="CH64" s="1" t="n">
        <v>45962.50189814815</v>
      </c>
      <c r="CK64" t="inlineStr">
        <is>
          <t>submitted_via_web</t>
        </is>
      </c>
      <c r="CM64" t="inlineStr">
        <is>
          <t>vteYUDpqfKnk39PHFZkvPS</t>
        </is>
      </c>
      <c r="CO64" t="inlineStr">
        <is>
          <t>uuid:3fa11c19-6060-4d52-8433-dc1667ac95be</t>
        </is>
      </c>
      <c r="CP64" t="n">
        <v>63</v>
      </c>
      <c r="CQ64" t="n">
        <v>4</v>
      </c>
      <c r="CR64" t="n">
        <v>0.07379052829950983</v>
      </c>
    </row>
    <row r="65">
      <c r="A65" s="1" t="n">
        <v>45962.52908528935</v>
      </c>
      <c r="B65" s="1" t="n">
        <v>45962.74046662037</v>
      </c>
      <c r="D65" t="inlineStr">
        <is>
          <t>24</t>
        </is>
      </c>
      <c r="E65" t="inlineStr">
        <is>
          <t>Female</t>
        </is>
      </c>
      <c r="F65" t="inlineStr">
        <is>
          <t>Sinhalese</t>
        </is>
      </c>
      <c r="H65" t="inlineStr">
        <is>
          <t>Buddhist</t>
        </is>
      </c>
      <c r="J65" t="inlineStr">
        <is>
          <t>Government sector</t>
        </is>
      </c>
      <c r="K65" t="inlineStr">
        <is>
          <t>25,000 – 50,000</t>
        </is>
      </c>
      <c r="L65" t="inlineStr">
        <is>
          <t xml:space="preserve">Undergraduate </t>
        </is>
      </c>
      <c r="M65" t="inlineStr">
        <is>
          <t>Western</t>
        </is>
      </c>
      <c r="N65" t="inlineStr">
        <is>
          <t>Single</t>
        </is>
      </c>
      <c r="P65" t="inlineStr">
        <is>
          <t xml:space="preserve"> I don’t know</t>
        </is>
      </c>
      <c r="R65" s="1" t="n">
        <v>44064</v>
      </c>
      <c r="S65" t="inlineStr">
        <is>
          <t xml:space="preserve">During school/university  </t>
        </is>
      </c>
      <c r="U65" t="inlineStr">
        <is>
          <t>Yes</t>
        </is>
      </c>
      <c r="V65" t="inlineStr">
        <is>
          <t>Thalassemia major (severe form)   Thalassemia minor or trait (carrier form)</t>
        </is>
      </c>
      <c r="W65" t="n">
        <v>1</v>
      </c>
      <c r="X65" t="n">
        <v>1</v>
      </c>
      <c r="Y65" t="n">
        <v>0</v>
      </c>
      <c r="Z65" t="n">
        <v>0</v>
      </c>
      <c r="AA65" t="inlineStr">
        <is>
          <t>Thalassemia major (severe form)   Thalassemia minor or trait (carrier form)</t>
        </is>
      </c>
      <c r="AB65" t="n">
        <v>1</v>
      </c>
      <c r="AC65" t="n">
        <v>1</v>
      </c>
      <c r="AD65" t="n">
        <v>0</v>
      </c>
      <c r="AE65" t="n">
        <v>0</v>
      </c>
      <c r="AF65" t="inlineStr">
        <is>
          <t>Thalassemia minor or trait (carrier form)</t>
        </is>
      </c>
      <c r="AG65" t="n">
        <v>0</v>
      </c>
      <c r="AH65" t="n">
        <v>1</v>
      </c>
      <c r="AI65" t="n">
        <v>0</v>
      </c>
      <c r="AJ65" t="n">
        <v>0</v>
      </c>
      <c r="AK65" t="inlineStr">
        <is>
          <t>Yes</t>
        </is>
      </c>
      <c r="AL65" t="inlineStr">
        <is>
          <t xml:space="preserve">Cannot be cured   </t>
        </is>
      </c>
      <c r="AM65" t="inlineStr">
        <is>
          <t xml:space="preserve">Can be prevented </t>
        </is>
      </c>
      <c r="AN65" t="inlineStr">
        <is>
          <t xml:space="preserve">From generation to generation (hereditary)  </t>
        </is>
      </c>
      <c r="AO65" t="inlineStr">
        <is>
          <t>Healthy</t>
        </is>
      </c>
      <c r="AP65" t="inlineStr">
        <is>
          <t xml:space="preserve">Has a chance to be affected (e.g., 25%) </t>
        </is>
      </c>
      <c r="AQ65" t="inlineStr">
        <is>
          <t>No</t>
        </is>
      </c>
      <c r="AR65" t="inlineStr">
        <is>
          <t>Don’t know</t>
        </is>
      </c>
      <c r="AS65" t="inlineStr">
        <is>
          <t xml:space="preserve">Regular blood transfusions for life </t>
        </is>
      </c>
      <c r="AT65" t="n">
        <v>1</v>
      </c>
      <c r="AU65" t="n">
        <v>0</v>
      </c>
      <c r="AV65" t="n">
        <v>0</v>
      </c>
      <c r="AW65" t="n">
        <v>0</v>
      </c>
      <c r="AX65" t="n">
        <v>0</v>
      </c>
      <c r="AY65" t="n">
        <v>0</v>
      </c>
      <c r="AZ65" t="n">
        <v>0</v>
      </c>
      <c r="BA65" t="n">
        <v>0</v>
      </c>
      <c r="BB65" t="inlineStr">
        <is>
          <t xml:space="preserve"> Get the partner tested before marriage  </t>
        </is>
      </c>
      <c r="BC65" t="n">
        <v>1</v>
      </c>
      <c r="BD65" t="n">
        <v>0</v>
      </c>
      <c r="BE65" t="n">
        <v>0</v>
      </c>
      <c r="BF65" t="n">
        <v>0</v>
      </c>
      <c r="BG65" t="inlineStr">
        <is>
          <t xml:space="preserve">Healthcare staff (doctors and nurses) </t>
        </is>
      </c>
      <c r="BH65" t="inlineStr">
        <is>
          <t>Definitely not</t>
        </is>
      </c>
      <c r="BI65" t="inlineStr">
        <is>
          <t xml:space="preserve">No </t>
        </is>
      </c>
      <c r="BJ65" t="inlineStr">
        <is>
          <t xml:space="preserve">Very important </t>
        </is>
      </c>
      <c r="BP65" t="inlineStr">
        <is>
          <t xml:space="preserve">Agree </t>
        </is>
      </c>
      <c r="BQ65" t="inlineStr">
        <is>
          <t xml:space="preserve">Yes </t>
        </is>
      </c>
      <c r="BS65" t="inlineStr">
        <is>
          <t>All</t>
        </is>
      </c>
      <c r="BT65" t="inlineStr">
        <is>
          <t>None</t>
        </is>
      </c>
      <c r="BU65" t="inlineStr">
        <is>
          <t>None</t>
        </is>
      </c>
      <c r="BV65" t="inlineStr">
        <is>
          <t xml:space="preserve">Lack of knowledge </t>
        </is>
      </c>
      <c r="BW65" t="n">
        <v>1</v>
      </c>
      <c r="BX65" t="n">
        <v>0</v>
      </c>
      <c r="BY65" t="n">
        <v>0</v>
      </c>
      <c r="BZ65" t="n">
        <v>0</v>
      </c>
      <c r="CA65" t="n">
        <v>0</v>
      </c>
      <c r="CB65" t="n">
        <v>0</v>
      </c>
      <c r="CD65" t="inlineStr">
        <is>
          <t xml:space="preserve">Somewhat easy </t>
        </is>
      </c>
      <c r="CE65" t="inlineStr">
        <is>
          <t xml:space="preserve">Important </t>
        </is>
      </c>
      <c r="CF65" t="n">
        <v>595903393</v>
      </c>
      <c r="CG65" t="inlineStr">
        <is>
          <t>7d5d490f-93f4-49e5-931f-d78e3603269d</t>
        </is>
      </c>
      <c r="CH65" s="1" t="n">
        <v>45962.51133101852</v>
      </c>
      <c r="CK65" t="inlineStr">
        <is>
          <t>submitted_via_web</t>
        </is>
      </c>
      <c r="CM65" t="inlineStr">
        <is>
          <t>vteYUDpqfKnk39PHFZkvPS</t>
        </is>
      </c>
      <c r="CO65" t="inlineStr">
        <is>
          <t>uuid:7d5d490f-93f4-49e5-931f-d78e3603269d</t>
        </is>
      </c>
      <c r="CP65" t="n">
        <v>64</v>
      </c>
      <c r="CQ65" t="n">
        <v>3</v>
      </c>
      <c r="CR65" t="n">
        <v>-0.3165225292847399</v>
      </c>
    </row>
    <row r="66">
      <c r="A66" s="1" t="n">
        <v>45962.74046782407</v>
      </c>
      <c r="B66" s="1" t="n">
        <v>45962.75974109954</v>
      </c>
      <c r="D66" t="inlineStr">
        <is>
          <t>20</t>
        </is>
      </c>
      <c r="E66" t="inlineStr">
        <is>
          <t>Female</t>
        </is>
      </c>
      <c r="F66" t="inlineStr">
        <is>
          <t>Sinhalese</t>
        </is>
      </c>
      <c r="H66" t="inlineStr">
        <is>
          <t>Buddhist</t>
        </is>
      </c>
      <c r="J66" t="inlineStr">
        <is>
          <t>Not employed</t>
        </is>
      </c>
      <c r="L66" t="inlineStr">
        <is>
          <t xml:space="preserve">Up to O/L </t>
        </is>
      </c>
      <c r="M66" t="inlineStr">
        <is>
          <t>Western</t>
        </is>
      </c>
      <c r="N66" t="inlineStr">
        <is>
          <t>Single</t>
        </is>
      </c>
      <c r="P66" t="inlineStr">
        <is>
          <t>No</t>
        </is>
      </c>
      <c r="R66" s="1" t="n">
        <v>42894</v>
      </c>
      <c r="S66" t="inlineStr">
        <is>
          <t>At workplace</t>
        </is>
      </c>
      <c r="U66" t="inlineStr">
        <is>
          <t>Yes</t>
        </is>
      </c>
      <c r="V66" t="inlineStr">
        <is>
          <t>Thalassemia major (severe form)   Thalassemia minor or trait (carrier form)</t>
        </is>
      </c>
      <c r="W66" t="n">
        <v>1</v>
      </c>
      <c r="X66" t="n">
        <v>1</v>
      </c>
      <c r="Y66" t="n">
        <v>0</v>
      </c>
      <c r="Z66" t="n">
        <v>0</v>
      </c>
      <c r="AA66" t="inlineStr">
        <is>
          <t>I don’t know</t>
        </is>
      </c>
      <c r="AB66" t="n">
        <v>0</v>
      </c>
      <c r="AC66" t="n">
        <v>0</v>
      </c>
      <c r="AD66" t="n">
        <v>0</v>
      </c>
      <c r="AE66" t="n">
        <v>1</v>
      </c>
      <c r="AF66" t="inlineStr">
        <is>
          <t>Thalassemia minor or trait (carrier form)</t>
        </is>
      </c>
      <c r="AG66" t="n">
        <v>0</v>
      </c>
      <c r="AH66" t="n">
        <v>1</v>
      </c>
      <c r="AI66" t="n">
        <v>0</v>
      </c>
      <c r="AJ66" t="n">
        <v>0</v>
      </c>
      <c r="AK66" t="inlineStr">
        <is>
          <t>Yes</t>
        </is>
      </c>
      <c r="AL66" t="inlineStr">
        <is>
          <t xml:space="preserve">Cannot be cured   </t>
        </is>
      </c>
      <c r="AM66" t="inlineStr">
        <is>
          <t xml:space="preserve">Can be prevented </t>
        </is>
      </c>
      <c r="AN66" t="inlineStr">
        <is>
          <t xml:space="preserve">From generation to generation (hereditary)  </t>
        </is>
      </c>
      <c r="AO66" t="inlineStr">
        <is>
          <t>Healthy</t>
        </is>
      </c>
      <c r="AP66" t="inlineStr">
        <is>
          <t>Always affected by thalassemia</t>
        </is>
      </c>
      <c r="AQ66" t="inlineStr">
        <is>
          <t xml:space="preserve">Yes </t>
        </is>
      </c>
      <c r="AR66" t="inlineStr">
        <is>
          <t>Don’t know</t>
        </is>
      </c>
      <c r="AS66" t="inlineStr">
        <is>
          <t>Regular blood transfusions for life  Iron overload affecting heart and liver  Fatigue</t>
        </is>
      </c>
      <c r="AT66" t="n">
        <v>1</v>
      </c>
      <c r="AU66" t="n">
        <v>1</v>
      </c>
      <c r="AV66" t="n">
        <v>0</v>
      </c>
      <c r="AW66" t="n">
        <v>0</v>
      </c>
      <c r="AX66" t="n">
        <v>0</v>
      </c>
      <c r="AY66" t="n">
        <v>0</v>
      </c>
      <c r="AZ66" t="n">
        <v>1</v>
      </c>
      <c r="BA66" t="n">
        <v>0</v>
      </c>
      <c r="BB66" t="inlineStr">
        <is>
          <t xml:space="preserve"> Get the partner tested before marriage   Get family members tested </t>
        </is>
      </c>
      <c r="BC66" t="n">
        <v>1</v>
      </c>
      <c r="BD66" t="n">
        <v>1</v>
      </c>
      <c r="BE66" t="n">
        <v>0</v>
      </c>
      <c r="BF66" t="n">
        <v>0</v>
      </c>
      <c r="BG66" t="inlineStr">
        <is>
          <t xml:space="preserve">Healthcare staff (doctors and nurses) </t>
        </is>
      </c>
      <c r="BH66" t="inlineStr">
        <is>
          <t>Definitely not</t>
        </is>
      </c>
      <c r="BI66" t="inlineStr">
        <is>
          <t xml:space="preserve">No </t>
        </is>
      </c>
      <c r="BJ66" t="inlineStr">
        <is>
          <t xml:space="preserve">Very important </t>
        </is>
      </c>
      <c r="BP66" t="inlineStr">
        <is>
          <t xml:space="preserve">Agree </t>
        </is>
      </c>
      <c r="BQ66" t="inlineStr">
        <is>
          <t xml:space="preserve">Yes </t>
        </is>
      </c>
      <c r="BS66" t="inlineStr">
        <is>
          <t>All</t>
        </is>
      </c>
      <c r="BT66" t="inlineStr">
        <is>
          <t>All</t>
        </is>
      </c>
      <c r="BU66" t="inlineStr">
        <is>
          <t>All</t>
        </is>
      </c>
      <c r="BV66" t="inlineStr">
        <is>
          <t xml:space="preserve">Lack of knowledge </t>
        </is>
      </c>
      <c r="BW66" t="n">
        <v>1</v>
      </c>
      <c r="BX66" t="n">
        <v>0</v>
      </c>
      <c r="BY66" t="n">
        <v>0</v>
      </c>
      <c r="BZ66" t="n">
        <v>0</v>
      </c>
      <c r="CA66" t="n">
        <v>0</v>
      </c>
      <c r="CB66" t="n">
        <v>0</v>
      </c>
      <c r="CD66" t="inlineStr">
        <is>
          <t xml:space="preserve">Difficult </t>
        </is>
      </c>
      <c r="CE66" t="inlineStr">
        <is>
          <t xml:space="preserve">Important </t>
        </is>
      </c>
      <c r="CF66" t="n">
        <v>595918588</v>
      </c>
      <c r="CG66" t="inlineStr">
        <is>
          <t>b22c728a-edad-436d-ad5f-ad62483d95c6</t>
        </is>
      </c>
      <c r="CH66" s="1" t="n">
        <v>45962.53060185185</v>
      </c>
      <c r="CK66" t="inlineStr">
        <is>
          <t>submitted_via_web</t>
        </is>
      </c>
      <c r="CM66" t="inlineStr">
        <is>
          <t>vteYUDpqfKnk39PHFZkvPS</t>
        </is>
      </c>
      <c r="CO66" t="inlineStr">
        <is>
          <t>uuid:b22c728a-edad-436d-ad5f-ad62483d95c6</t>
        </is>
      </c>
      <c r="CP66" t="n">
        <v>65</v>
      </c>
      <c r="CQ66" t="n">
        <v>5</v>
      </c>
      <c r="CR66" t="n">
        <v>0.4641035858837596</v>
      </c>
    </row>
    <row r="67">
      <c r="A67" s="1" t="n">
        <v>45962.73105034723</v>
      </c>
      <c r="B67" s="1" t="n">
        <v>45962.76307158565</v>
      </c>
      <c r="D67" t="inlineStr">
        <is>
          <t>18</t>
        </is>
      </c>
      <c r="E67" t="inlineStr">
        <is>
          <t>Female</t>
        </is>
      </c>
      <c r="F67" t="inlineStr">
        <is>
          <t>Sinhalese</t>
        </is>
      </c>
      <c r="H67" t="inlineStr">
        <is>
          <t>Buddhist</t>
        </is>
      </c>
      <c r="J67" t="inlineStr">
        <is>
          <t>Not employed</t>
        </is>
      </c>
      <c r="L67" t="inlineStr">
        <is>
          <t xml:space="preserve">Up to O/L </t>
        </is>
      </c>
      <c r="M67" t="inlineStr">
        <is>
          <t xml:space="preserve">North Western </t>
        </is>
      </c>
      <c r="N67" t="inlineStr">
        <is>
          <t>Single</t>
        </is>
      </c>
      <c r="P67" t="inlineStr">
        <is>
          <t xml:space="preserve"> I don’t know</t>
        </is>
      </c>
      <c r="R67" s="1" t="n">
        <v>45018</v>
      </c>
      <c r="S67" t="inlineStr">
        <is>
          <t xml:space="preserve">During school/university  </t>
        </is>
      </c>
      <c r="U67" t="inlineStr">
        <is>
          <t>Yes</t>
        </is>
      </c>
      <c r="V67" t="inlineStr">
        <is>
          <t>I don’t know</t>
        </is>
      </c>
      <c r="W67" t="n">
        <v>0</v>
      </c>
      <c r="X67" t="n">
        <v>0</v>
      </c>
      <c r="Y67" t="n">
        <v>0</v>
      </c>
      <c r="Z67" t="n">
        <v>1</v>
      </c>
      <c r="AA67" t="inlineStr">
        <is>
          <t>I don’t know</t>
        </is>
      </c>
      <c r="AB67" t="n">
        <v>0</v>
      </c>
      <c r="AC67" t="n">
        <v>0</v>
      </c>
      <c r="AD67" t="n">
        <v>0</v>
      </c>
      <c r="AE67" t="n">
        <v>1</v>
      </c>
      <c r="AF67" t="inlineStr">
        <is>
          <t>Thalassemia minor or trait (carrier form)</t>
        </is>
      </c>
      <c r="AG67" t="n">
        <v>0</v>
      </c>
      <c r="AH67" t="n">
        <v>1</v>
      </c>
      <c r="AI67" t="n">
        <v>0</v>
      </c>
      <c r="AJ67" t="n">
        <v>0</v>
      </c>
      <c r="AK67" t="inlineStr">
        <is>
          <t>Yes</t>
        </is>
      </c>
      <c r="AL67" t="inlineStr">
        <is>
          <t xml:space="preserve">Cannot be cured   </t>
        </is>
      </c>
      <c r="AM67" t="inlineStr">
        <is>
          <t xml:space="preserve">Can be prevented </t>
        </is>
      </c>
      <c r="AN67" t="inlineStr">
        <is>
          <t>Don’t know</t>
        </is>
      </c>
      <c r="AO67" t="inlineStr">
        <is>
          <t>Healthy</t>
        </is>
      </c>
      <c r="AP67" t="inlineStr">
        <is>
          <t>Always affected by thalassemia</t>
        </is>
      </c>
      <c r="AQ67" t="inlineStr">
        <is>
          <t xml:space="preserve">Yes </t>
        </is>
      </c>
      <c r="AR67" t="inlineStr">
        <is>
          <t>Don’t know</t>
        </is>
      </c>
      <c r="AS67" t="inlineStr">
        <is>
          <t xml:space="preserve">Regular blood transfusions for life </t>
        </is>
      </c>
      <c r="AT67" t="n">
        <v>1</v>
      </c>
      <c r="AU67" t="n">
        <v>0</v>
      </c>
      <c r="AV67" t="n">
        <v>0</v>
      </c>
      <c r="AW67" t="n">
        <v>0</v>
      </c>
      <c r="AX67" t="n">
        <v>0</v>
      </c>
      <c r="AY67" t="n">
        <v>0</v>
      </c>
      <c r="AZ67" t="n">
        <v>0</v>
      </c>
      <c r="BA67" t="n">
        <v>0</v>
      </c>
      <c r="BB67" t="inlineStr">
        <is>
          <t xml:space="preserve"> Get the partner tested before marriage   Get family members tested </t>
        </is>
      </c>
      <c r="BC67" t="n">
        <v>1</v>
      </c>
      <c r="BD67" t="n">
        <v>1</v>
      </c>
      <c r="BE67" t="n">
        <v>0</v>
      </c>
      <c r="BF67" t="n">
        <v>0</v>
      </c>
      <c r="BG67" t="inlineStr">
        <is>
          <t>Only found out after screening</t>
        </is>
      </c>
      <c r="BH67" t="inlineStr">
        <is>
          <t>Definitely not</t>
        </is>
      </c>
      <c r="BI67" t="inlineStr">
        <is>
          <t xml:space="preserve">No </t>
        </is>
      </c>
      <c r="BJ67" t="inlineStr">
        <is>
          <t xml:space="preserve">Very important </t>
        </is>
      </c>
      <c r="BP67" t="inlineStr">
        <is>
          <t xml:space="preserve">Agree </t>
        </is>
      </c>
      <c r="BQ67" t="inlineStr">
        <is>
          <t xml:space="preserve">Yes </t>
        </is>
      </c>
      <c r="BS67" t="inlineStr">
        <is>
          <t>All</t>
        </is>
      </c>
      <c r="BT67" t="inlineStr">
        <is>
          <t>Don't know</t>
        </is>
      </c>
      <c r="BU67" t="inlineStr">
        <is>
          <t>Don't know</t>
        </is>
      </c>
      <c r="CD67" t="inlineStr">
        <is>
          <t xml:space="preserve">Very easy </t>
        </is>
      </c>
      <c r="CE67" t="inlineStr">
        <is>
          <t xml:space="preserve"> Very important</t>
        </is>
      </c>
      <c r="CF67" t="n">
        <v>595921890</v>
      </c>
      <c r="CG67" t="inlineStr">
        <is>
          <t>f1ec6670-fd29-4451-8c18-98f1e9820d72</t>
        </is>
      </c>
      <c r="CH67" s="1" t="n">
        <v>45962.53392361111</v>
      </c>
      <c r="CK67" t="inlineStr">
        <is>
          <t>submitted_via_web</t>
        </is>
      </c>
      <c r="CM67" t="inlineStr">
        <is>
          <t>vteYUDpqfKnk39PHFZkvPS</t>
        </is>
      </c>
      <c r="CO67" t="inlineStr">
        <is>
          <t>uuid:f1ec6670-fd29-4451-8c18-98f1e9820d72</t>
        </is>
      </c>
      <c r="CP67" t="n">
        <v>66</v>
      </c>
      <c r="CQ67" t="n">
        <v>1</v>
      </c>
      <c r="CR67" t="n">
        <v>-1.097148644453239</v>
      </c>
    </row>
    <row r="68">
      <c r="A68" s="1" t="n">
        <v>45962.76307203704</v>
      </c>
      <c r="B68" s="1" t="n">
        <v>45962.76552211805</v>
      </c>
      <c r="D68" t="inlineStr">
        <is>
          <t>18</t>
        </is>
      </c>
      <c r="E68" t="inlineStr">
        <is>
          <t>Female</t>
        </is>
      </c>
      <c r="F68" t="inlineStr">
        <is>
          <t>Sinhalese</t>
        </is>
      </c>
      <c r="H68" t="inlineStr">
        <is>
          <t>Buddhist</t>
        </is>
      </c>
      <c r="J68" t="inlineStr">
        <is>
          <t>Not employed</t>
        </is>
      </c>
      <c r="L68" t="inlineStr">
        <is>
          <t xml:space="preserve">Up to O/L </t>
        </is>
      </c>
      <c r="M68" t="inlineStr">
        <is>
          <t xml:space="preserve">North Western </t>
        </is>
      </c>
      <c r="N68" t="inlineStr">
        <is>
          <t>Single</t>
        </is>
      </c>
      <c r="P68" t="inlineStr">
        <is>
          <t xml:space="preserve"> I don’t know</t>
        </is>
      </c>
      <c r="R68" s="1" t="n">
        <v>45018</v>
      </c>
      <c r="S68" t="inlineStr">
        <is>
          <t xml:space="preserve">During school/university  </t>
        </is>
      </c>
      <c r="U68" t="inlineStr">
        <is>
          <t>Don’t know</t>
        </is>
      </c>
      <c r="V68" t="inlineStr">
        <is>
          <t>I don’t know</t>
        </is>
      </c>
      <c r="W68" t="n">
        <v>0</v>
      </c>
      <c r="X68" t="n">
        <v>0</v>
      </c>
      <c r="Y68" t="n">
        <v>0</v>
      </c>
      <c r="Z68" t="n">
        <v>1</v>
      </c>
      <c r="AA68" t="inlineStr">
        <is>
          <t>I don’t know</t>
        </is>
      </c>
      <c r="AB68" t="n">
        <v>0</v>
      </c>
      <c r="AC68" t="n">
        <v>0</v>
      </c>
      <c r="AD68" t="n">
        <v>0</v>
      </c>
      <c r="AE68" t="n">
        <v>1</v>
      </c>
      <c r="AF68" t="inlineStr">
        <is>
          <t>Thalassemia minor or trait (carrier form)</t>
        </is>
      </c>
      <c r="AG68" t="n">
        <v>0</v>
      </c>
      <c r="AH68" t="n">
        <v>1</v>
      </c>
      <c r="AI68" t="n">
        <v>0</v>
      </c>
      <c r="AJ68" t="n">
        <v>0</v>
      </c>
      <c r="AK68" t="inlineStr">
        <is>
          <t>Yes</t>
        </is>
      </c>
      <c r="AL68" t="inlineStr">
        <is>
          <t xml:space="preserve">Cannot be cured   </t>
        </is>
      </c>
      <c r="AM68" t="inlineStr">
        <is>
          <t xml:space="preserve">Can be prevented </t>
        </is>
      </c>
      <c r="AN68" t="inlineStr">
        <is>
          <t xml:space="preserve">From generation to generation (hereditary)  </t>
        </is>
      </c>
      <c r="AO68" t="inlineStr">
        <is>
          <t>Healthy</t>
        </is>
      </c>
      <c r="AP68" t="inlineStr">
        <is>
          <t xml:space="preserve">Has a chance to be affected (e.g., 25%) </t>
        </is>
      </c>
      <c r="AQ68" t="inlineStr">
        <is>
          <t>No</t>
        </is>
      </c>
      <c r="AR68" t="inlineStr">
        <is>
          <t>Don’t know</t>
        </is>
      </c>
      <c r="AS68" t="inlineStr">
        <is>
          <t xml:space="preserve">Regular blood transfusions for life </t>
        </is>
      </c>
      <c r="AT68" t="n">
        <v>1</v>
      </c>
      <c r="AU68" t="n">
        <v>0</v>
      </c>
      <c r="AV68" t="n">
        <v>0</v>
      </c>
      <c r="AW68" t="n">
        <v>0</v>
      </c>
      <c r="AX68" t="n">
        <v>0</v>
      </c>
      <c r="AY68" t="n">
        <v>0</v>
      </c>
      <c r="AZ68" t="n">
        <v>0</v>
      </c>
      <c r="BA68" t="n">
        <v>0</v>
      </c>
      <c r="BB68" t="inlineStr">
        <is>
          <t xml:space="preserve"> Get the partner tested before marriage   Get family members tested </t>
        </is>
      </c>
      <c r="BC68" t="n">
        <v>1</v>
      </c>
      <c r="BD68" t="n">
        <v>1</v>
      </c>
      <c r="BE68" t="n">
        <v>0</v>
      </c>
      <c r="BF68" t="n">
        <v>0</v>
      </c>
      <c r="BG68" t="inlineStr">
        <is>
          <t>Only found out after screening</t>
        </is>
      </c>
      <c r="BH68" t="inlineStr">
        <is>
          <t>Definitely not</t>
        </is>
      </c>
      <c r="BI68" t="inlineStr">
        <is>
          <t xml:space="preserve">No </t>
        </is>
      </c>
      <c r="BJ68" t="inlineStr">
        <is>
          <t xml:space="preserve">Very important </t>
        </is>
      </c>
      <c r="BP68" t="inlineStr">
        <is>
          <t xml:space="preserve">Agree </t>
        </is>
      </c>
      <c r="BQ68" t="inlineStr">
        <is>
          <t xml:space="preserve">Yes </t>
        </is>
      </c>
      <c r="BS68" t="inlineStr">
        <is>
          <t>All</t>
        </is>
      </c>
      <c r="BT68" t="inlineStr">
        <is>
          <t>Some</t>
        </is>
      </c>
      <c r="BU68" t="inlineStr">
        <is>
          <t>Don't know</t>
        </is>
      </c>
      <c r="CD68" t="inlineStr">
        <is>
          <t xml:space="preserve">Very easy </t>
        </is>
      </c>
      <c r="CE68" t="inlineStr">
        <is>
          <t xml:space="preserve"> Very important</t>
        </is>
      </c>
      <c r="CF68" t="n">
        <v>595923469</v>
      </c>
      <c r="CG68" t="inlineStr">
        <is>
          <t>ff040737-e638-4f57-be9e-7b6600885243</t>
        </is>
      </c>
      <c r="CH68" s="1" t="n">
        <v>45962.53635416667</v>
      </c>
      <c r="CK68" t="inlineStr">
        <is>
          <t>submitted_via_web</t>
        </is>
      </c>
      <c r="CM68" t="inlineStr">
        <is>
          <t>vteYUDpqfKnk39PHFZkvPS</t>
        </is>
      </c>
      <c r="CO68" t="inlineStr">
        <is>
          <t>uuid:ff040737-e638-4f57-be9e-7b6600885243</t>
        </is>
      </c>
      <c r="CP68" t="n">
        <v>67</v>
      </c>
      <c r="CQ68" t="n">
        <v>1</v>
      </c>
      <c r="CR68" t="n">
        <v>-1.097148644453239</v>
      </c>
    </row>
    <row r="69">
      <c r="A69" s="1" t="n">
        <v>45962.76552243056</v>
      </c>
      <c r="B69" s="1" t="n">
        <v>45962.76919270834</v>
      </c>
      <c r="D69" t="inlineStr">
        <is>
          <t>50</t>
        </is>
      </c>
      <c r="E69" t="inlineStr">
        <is>
          <t>Female</t>
        </is>
      </c>
      <c r="F69" t="inlineStr">
        <is>
          <t>Sinhalese</t>
        </is>
      </c>
      <c r="H69" t="inlineStr">
        <is>
          <t>Buddhist</t>
        </is>
      </c>
      <c r="J69" t="inlineStr">
        <is>
          <t>Government sector</t>
        </is>
      </c>
      <c r="K69" t="inlineStr">
        <is>
          <t>51,000 – 100,000</t>
        </is>
      </c>
      <c r="L69" t="inlineStr">
        <is>
          <t xml:space="preserve">Up to A/L </t>
        </is>
      </c>
      <c r="M69" t="inlineStr">
        <is>
          <t xml:space="preserve">North Western </t>
        </is>
      </c>
      <c r="N69" t="inlineStr">
        <is>
          <t xml:space="preserve">Married </t>
        </is>
      </c>
      <c r="O69" t="inlineStr">
        <is>
          <t xml:space="preserve">Yes, more than one child </t>
        </is>
      </c>
      <c r="P69" t="inlineStr">
        <is>
          <t>No</t>
        </is>
      </c>
      <c r="R69" s="1" t="n">
        <v>45018</v>
      </c>
      <c r="S69" t="inlineStr">
        <is>
          <t>During community screening</t>
        </is>
      </c>
      <c r="U69" t="inlineStr">
        <is>
          <t>Yes</t>
        </is>
      </c>
      <c r="V69" t="inlineStr">
        <is>
          <t>Thalassemia major (severe form)   Thalassemia minor or trait (carrier form)</t>
        </is>
      </c>
      <c r="W69" t="n">
        <v>1</v>
      </c>
      <c r="X69" t="n">
        <v>1</v>
      </c>
      <c r="Y69" t="n">
        <v>0</v>
      </c>
      <c r="Z69" t="n">
        <v>0</v>
      </c>
      <c r="AA69" t="inlineStr">
        <is>
          <t xml:space="preserve">Thalassemia major (severe form)  </t>
        </is>
      </c>
      <c r="AB69" t="n">
        <v>1</v>
      </c>
      <c r="AC69" t="n">
        <v>0</v>
      </c>
      <c r="AD69" t="n">
        <v>0</v>
      </c>
      <c r="AE69" t="n">
        <v>0</v>
      </c>
      <c r="AF69" t="inlineStr">
        <is>
          <t>Thalassemia minor or trait (carrier form)</t>
        </is>
      </c>
      <c r="AG69" t="n">
        <v>0</v>
      </c>
      <c r="AH69" t="n">
        <v>1</v>
      </c>
      <c r="AI69" t="n">
        <v>0</v>
      </c>
      <c r="AJ69" t="n">
        <v>0</v>
      </c>
      <c r="AK69" t="inlineStr">
        <is>
          <t>Yes</t>
        </is>
      </c>
      <c r="AL69" t="inlineStr">
        <is>
          <t xml:space="preserve">Cannot be cured   </t>
        </is>
      </c>
      <c r="AM69" t="inlineStr">
        <is>
          <t xml:space="preserve">Can be prevented </t>
        </is>
      </c>
      <c r="AN69" t="inlineStr">
        <is>
          <t xml:space="preserve">From generation to generation (hereditary)  </t>
        </is>
      </c>
      <c r="AO69" t="inlineStr">
        <is>
          <t>Healthy</t>
        </is>
      </c>
      <c r="AP69" t="inlineStr">
        <is>
          <t xml:space="preserve">Has a chance to be affected (e.g., 25%) </t>
        </is>
      </c>
      <c r="AQ69" t="inlineStr">
        <is>
          <t xml:space="preserve">Yes </t>
        </is>
      </c>
      <c r="AR69" t="inlineStr">
        <is>
          <t>Don’t know</t>
        </is>
      </c>
      <c r="AS69" t="inlineStr">
        <is>
          <t xml:space="preserve">Regular blood transfusions for life </t>
        </is>
      </c>
      <c r="AT69" t="n">
        <v>1</v>
      </c>
      <c r="AU69" t="n">
        <v>0</v>
      </c>
      <c r="AV69" t="n">
        <v>0</v>
      </c>
      <c r="AW69" t="n">
        <v>0</v>
      </c>
      <c r="AX69" t="n">
        <v>0</v>
      </c>
      <c r="AY69" t="n">
        <v>0</v>
      </c>
      <c r="AZ69" t="n">
        <v>0</v>
      </c>
      <c r="BA69" t="n">
        <v>0</v>
      </c>
      <c r="BB69" t="inlineStr">
        <is>
          <t xml:space="preserve"> Get the partner tested before marriage   Get family members tested </t>
        </is>
      </c>
      <c r="BC69" t="n">
        <v>1</v>
      </c>
      <c r="BD69" t="n">
        <v>1</v>
      </c>
      <c r="BE69" t="n">
        <v>0</v>
      </c>
      <c r="BF69" t="n">
        <v>0</v>
      </c>
      <c r="BG69" t="inlineStr">
        <is>
          <t>Only found out after screening</t>
        </is>
      </c>
      <c r="BH69" t="inlineStr">
        <is>
          <t>Definitely not</t>
        </is>
      </c>
      <c r="BI69" t="inlineStr">
        <is>
          <t xml:space="preserve">No </t>
        </is>
      </c>
      <c r="BJ69" t="inlineStr">
        <is>
          <t xml:space="preserve">Very important </t>
        </is>
      </c>
      <c r="BK69" t="inlineStr">
        <is>
          <t xml:space="preserve"> Partner was screened after marriage </t>
        </is>
      </c>
      <c r="BP69" t="inlineStr">
        <is>
          <t xml:space="preserve">Agree </t>
        </is>
      </c>
      <c r="BQ69" t="inlineStr">
        <is>
          <t xml:space="preserve">Yes </t>
        </is>
      </c>
      <c r="BS69" t="inlineStr">
        <is>
          <t>All</t>
        </is>
      </c>
      <c r="BT69" t="inlineStr">
        <is>
          <t>Some</t>
        </is>
      </c>
      <c r="BU69" t="inlineStr">
        <is>
          <t>Don't know</t>
        </is>
      </c>
      <c r="CD69" t="inlineStr">
        <is>
          <t xml:space="preserve">Somewhat easy </t>
        </is>
      </c>
      <c r="CE69" t="inlineStr">
        <is>
          <t xml:space="preserve"> Very important</t>
        </is>
      </c>
      <c r="CF69" t="n">
        <v>595926442</v>
      </c>
      <c r="CG69" t="inlineStr">
        <is>
          <t>50097a09-bb34-4536-9270-fefe869df913</t>
        </is>
      </c>
      <c r="CH69" s="1" t="n">
        <v>45962.54003472222</v>
      </c>
      <c r="CK69" t="inlineStr">
        <is>
          <t>submitted_via_web</t>
        </is>
      </c>
      <c r="CM69" t="inlineStr">
        <is>
          <t>vteYUDpqfKnk39PHFZkvPS</t>
        </is>
      </c>
      <c r="CO69" t="inlineStr">
        <is>
          <t>uuid:50097a09-bb34-4536-9270-fefe869df913</t>
        </is>
      </c>
      <c r="CP69" t="n">
        <v>68</v>
      </c>
      <c r="CQ69" t="n">
        <v>3</v>
      </c>
      <c r="CR69" t="n">
        <v>-0.3165225292847399</v>
      </c>
    </row>
    <row r="70">
      <c r="A70" s="1" t="n">
        <v>45962.75974277778</v>
      </c>
      <c r="B70" s="1" t="n">
        <v>45962.77029332176</v>
      </c>
      <c r="D70" t="inlineStr">
        <is>
          <t>24</t>
        </is>
      </c>
      <c r="E70" t="inlineStr">
        <is>
          <t>Female</t>
        </is>
      </c>
      <c r="F70" t="inlineStr">
        <is>
          <t>Sinhalese</t>
        </is>
      </c>
      <c r="H70" t="inlineStr">
        <is>
          <t>Buddhist</t>
        </is>
      </c>
      <c r="J70" t="inlineStr">
        <is>
          <t>Not employed</t>
        </is>
      </c>
      <c r="K70" t="inlineStr">
        <is>
          <t>25,000 – 50,000</t>
        </is>
      </c>
      <c r="L70" t="inlineStr">
        <is>
          <t xml:space="preserve">Undergraduate </t>
        </is>
      </c>
      <c r="M70" t="inlineStr">
        <is>
          <t>Western</t>
        </is>
      </c>
      <c r="N70" t="inlineStr">
        <is>
          <t>Single</t>
        </is>
      </c>
      <c r="P70" t="inlineStr">
        <is>
          <t>No</t>
        </is>
      </c>
      <c r="R70" s="1" t="n">
        <v>43700</v>
      </c>
      <c r="S70" t="inlineStr">
        <is>
          <t xml:space="preserve">During school/university  </t>
        </is>
      </c>
      <c r="U70" t="inlineStr">
        <is>
          <t>Yes</t>
        </is>
      </c>
      <c r="V70" t="inlineStr">
        <is>
          <t>Thalassemia major (severe form)   Thalassemia minor or trait (carrier form)</t>
        </is>
      </c>
      <c r="W70" t="n">
        <v>1</v>
      </c>
      <c r="X70" t="n">
        <v>1</v>
      </c>
      <c r="Y70" t="n">
        <v>0</v>
      </c>
      <c r="Z70" t="n">
        <v>0</v>
      </c>
      <c r="AA70" t="inlineStr">
        <is>
          <t xml:space="preserve">Thalassemia major (severe form)  </t>
        </is>
      </c>
      <c r="AB70" t="n">
        <v>1</v>
      </c>
      <c r="AC70" t="n">
        <v>0</v>
      </c>
      <c r="AD70" t="n">
        <v>0</v>
      </c>
      <c r="AE70" t="n">
        <v>0</v>
      </c>
      <c r="AF70" t="inlineStr">
        <is>
          <t>Thalassemia minor or trait (carrier form)</t>
        </is>
      </c>
      <c r="AG70" t="n">
        <v>0</v>
      </c>
      <c r="AH70" t="n">
        <v>1</v>
      </c>
      <c r="AI70" t="n">
        <v>0</v>
      </c>
      <c r="AJ70" t="n">
        <v>0</v>
      </c>
      <c r="AK70" t="inlineStr">
        <is>
          <t>Yes</t>
        </is>
      </c>
      <c r="AL70" t="inlineStr">
        <is>
          <t xml:space="preserve">Cannot be cured   </t>
        </is>
      </c>
      <c r="AM70" t="inlineStr">
        <is>
          <t xml:space="preserve">Can be prevented </t>
        </is>
      </c>
      <c r="AN70" t="inlineStr">
        <is>
          <t xml:space="preserve">From generation to generation (hereditary)  </t>
        </is>
      </c>
      <c r="AO70" t="inlineStr">
        <is>
          <t>Healthy</t>
        </is>
      </c>
      <c r="AP70" t="inlineStr">
        <is>
          <t>Always affected by thalassemia</t>
        </is>
      </c>
      <c r="AQ70" t="inlineStr">
        <is>
          <t xml:space="preserve">Yes </t>
        </is>
      </c>
      <c r="AR70" t="inlineStr">
        <is>
          <t>Don’t know</t>
        </is>
      </c>
      <c r="AS70" t="inlineStr">
        <is>
          <t>Regular blood transfusions for life  Iron overload affecting heart and liver  Fatigue</t>
        </is>
      </c>
      <c r="AT70" t="n">
        <v>1</v>
      </c>
      <c r="AU70" t="n">
        <v>1</v>
      </c>
      <c r="AV70" t="n">
        <v>0</v>
      </c>
      <c r="AW70" t="n">
        <v>0</v>
      </c>
      <c r="AX70" t="n">
        <v>0</v>
      </c>
      <c r="AY70" t="n">
        <v>0</v>
      </c>
      <c r="AZ70" t="n">
        <v>1</v>
      </c>
      <c r="BA70" t="n">
        <v>0</v>
      </c>
      <c r="BB70" t="inlineStr">
        <is>
          <t>I don’t know</t>
        </is>
      </c>
      <c r="BC70" t="n">
        <v>0</v>
      </c>
      <c r="BD70" t="n">
        <v>0</v>
      </c>
      <c r="BE70" t="n">
        <v>0</v>
      </c>
      <c r="BF70" t="n">
        <v>1</v>
      </c>
      <c r="BG70" t="inlineStr">
        <is>
          <t xml:space="preserve">Healthcare staff (doctors and nurses) </t>
        </is>
      </c>
      <c r="BH70" t="inlineStr">
        <is>
          <t xml:space="preserve">Not sure </t>
        </is>
      </c>
      <c r="BI70" t="inlineStr">
        <is>
          <t xml:space="preserve">No </t>
        </is>
      </c>
      <c r="BJ70" t="inlineStr">
        <is>
          <t xml:space="preserve">Very important </t>
        </is>
      </c>
      <c r="BP70" t="inlineStr">
        <is>
          <t xml:space="preserve">Agree </t>
        </is>
      </c>
      <c r="BQ70" t="inlineStr">
        <is>
          <t xml:space="preserve">Yes </t>
        </is>
      </c>
      <c r="BS70" t="inlineStr">
        <is>
          <t>None</t>
        </is>
      </c>
      <c r="BT70" t="inlineStr">
        <is>
          <t>None</t>
        </is>
      </c>
      <c r="BU70" t="inlineStr">
        <is>
          <t>None</t>
        </is>
      </c>
      <c r="BV70" t="inlineStr">
        <is>
          <t xml:space="preserve">Lack of knowledge </t>
        </is>
      </c>
      <c r="BW70" t="n">
        <v>1</v>
      </c>
      <c r="BX70" t="n">
        <v>0</v>
      </c>
      <c r="BY70" t="n">
        <v>0</v>
      </c>
      <c r="BZ70" t="n">
        <v>0</v>
      </c>
      <c r="CA70" t="n">
        <v>0</v>
      </c>
      <c r="CB70" t="n">
        <v>0</v>
      </c>
      <c r="CD70" t="inlineStr">
        <is>
          <t xml:space="preserve">Difficult </t>
        </is>
      </c>
      <c r="CE70" t="inlineStr">
        <is>
          <t xml:space="preserve">Important </t>
        </is>
      </c>
      <c r="CF70" t="n">
        <v>595927392</v>
      </c>
      <c r="CG70" t="inlineStr">
        <is>
          <t>427fae27-4e9c-42d9-a037-adbd5fab21c8</t>
        </is>
      </c>
      <c r="CH70" s="1" t="n">
        <v>45962.54114583333</v>
      </c>
      <c r="CK70" t="inlineStr">
        <is>
          <t>submitted_via_web</t>
        </is>
      </c>
      <c r="CM70" t="inlineStr">
        <is>
          <t>vteYUDpqfKnk39PHFZkvPS</t>
        </is>
      </c>
      <c r="CO70" t="inlineStr">
        <is>
          <t>uuid:427fae27-4e9c-42d9-a037-adbd5fab21c8</t>
        </is>
      </c>
      <c r="CP70" t="n">
        <v>69</v>
      </c>
      <c r="CQ70" t="n">
        <v>5</v>
      </c>
      <c r="CR70" t="n">
        <v>0.4641035858837596</v>
      </c>
    </row>
    <row r="71">
      <c r="A71" s="1" t="n">
        <v>45962.76919299769</v>
      </c>
      <c r="B71" s="1" t="n">
        <v>45962.7858159838</v>
      </c>
      <c r="D71" t="inlineStr">
        <is>
          <t>53</t>
        </is>
      </c>
      <c r="E71" t="inlineStr">
        <is>
          <t>Female</t>
        </is>
      </c>
      <c r="F71" t="inlineStr">
        <is>
          <t>Sinhalese</t>
        </is>
      </c>
      <c r="H71" t="inlineStr">
        <is>
          <t>Buddhist</t>
        </is>
      </c>
      <c r="J71" t="inlineStr">
        <is>
          <t>Not employed</t>
        </is>
      </c>
      <c r="L71" t="inlineStr">
        <is>
          <t xml:space="preserve">Up to O/L </t>
        </is>
      </c>
      <c r="M71" t="inlineStr">
        <is>
          <t xml:space="preserve">North Western </t>
        </is>
      </c>
      <c r="N71" t="inlineStr">
        <is>
          <t xml:space="preserve">Married </t>
        </is>
      </c>
      <c r="O71" t="inlineStr">
        <is>
          <t xml:space="preserve">Yes, more than one child </t>
        </is>
      </c>
      <c r="P71" t="inlineStr">
        <is>
          <t xml:space="preserve"> I don’t know</t>
        </is>
      </c>
      <c r="R71" s="1" t="n">
        <v>45018</v>
      </c>
      <c r="S71" t="inlineStr">
        <is>
          <t xml:space="preserve">During school/university  </t>
        </is>
      </c>
      <c r="U71" t="inlineStr">
        <is>
          <t>Yes</t>
        </is>
      </c>
      <c r="V71" t="inlineStr">
        <is>
          <t>I don’t know</t>
        </is>
      </c>
      <c r="W71" t="n">
        <v>0</v>
      </c>
      <c r="X71" t="n">
        <v>0</v>
      </c>
      <c r="Y71" t="n">
        <v>0</v>
      </c>
      <c r="Z71" t="n">
        <v>1</v>
      </c>
      <c r="AA71" t="inlineStr">
        <is>
          <t>I don’t know</t>
        </is>
      </c>
      <c r="AB71" t="n">
        <v>0</v>
      </c>
      <c r="AC71" t="n">
        <v>0</v>
      </c>
      <c r="AD71" t="n">
        <v>0</v>
      </c>
      <c r="AE71" t="n">
        <v>1</v>
      </c>
      <c r="AF71" t="inlineStr">
        <is>
          <t>Thalassemia minor or trait (carrier form)</t>
        </is>
      </c>
      <c r="AG71" t="n">
        <v>0</v>
      </c>
      <c r="AH71" t="n">
        <v>1</v>
      </c>
      <c r="AI71" t="n">
        <v>0</v>
      </c>
      <c r="AJ71" t="n">
        <v>0</v>
      </c>
      <c r="AK71" t="inlineStr">
        <is>
          <t>Don’t know</t>
        </is>
      </c>
      <c r="AL71" t="inlineStr">
        <is>
          <t>Don’t know</t>
        </is>
      </c>
      <c r="AM71" t="inlineStr">
        <is>
          <t xml:space="preserve">Can be prevented </t>
        </is>
      </c>
      <c r="AN71" t="inlineStr">
        <is>
          <t xml:space="preserve">From generation to generation (hereditary)  </t>
        </is>
      </c>
      <c r="AO71" t="inlineStr">
        <is>
          <t>Healthy</t>
        </is>
      </c>
      <c r="AP71" t="inlineStr">
        <is>
          <t>Always affected by thalassemia</t>
        </is>
      </c>
      <c r="AQ71" t="inlineStr">
        <is>
          <t xml:space="preserve">Yes </t>
        </is>
      </c>
      <c r="AR71" t="inlineStr">
        <is>
          <t>Don’t know</t>
        </is>
      </c>
      <c r="AS71" t="inlineStr">
        <is>
          <t>Regular blood transfusions for life  Delayed growth and puberty</t>
        </is>
      </c>
      <c r="AT71" t="n">
        <v>1</v>
      </c>
      <c r="AU71" t="n">
        <v>0</v>
      </c>
      <c r="AV71" t="n">
        <v>1</v>
      </c>
      <c r="AW71" t="n">
        <v>0</v>
      </c>
      <c r="AX71" t="n">
        <v>0</v>
      </c>
      <c r="AY71" t="n">
        <v>0</v>
      </c>
      <c r="AZ71" t="n">
        <v>0</v>
      </c>
      <c r="BA71" t="n">
        <v>0</v>
      </c>
      <c r="BB71" t="inlineStr">
        <is>
          <t xml:space="preserve"> Get the partner tested before marriage   Get family members tested </t>
        </is>
      </c>
      <c r="BC71" t="n">
        <v>1</v>
      </c>
      <c r="BD71" t="n">
        <v>1</v>
      </c>
      <c r="BE71" t="n">
        <v>0</v>
      </c>
      <c r="BF71" t="n">
        <v>0</v>
      </c>
      <c r="BG71" t="inlineStr">
        <is>
          <t xml:space="preserve">Healthcare staff (doctors and nurses) </t>
        </is>
      </c>
      <c r="BH71" t="inlineStr">
        <is>
          <t xml:space="preserve">Not sure </t>
        </is>
      </c>
      <c r="BI71" t="inlineStr">
        <is>
          <t xml:space="preserve">No </t>
        </is>
      </c>
      <c r="BJ71" t="inlineStr">
        <is>
          <t xml:space="preserve">Very important </t>
        </is>
      </c>
      <c r="BK71" t="inlineStr">
        <is>
          <t xml:space="preserve"> Partner was screened after marriage </t>
        </is>
      </c>
      <c r="BP71" t="inlineStr">
        <is>
          <t xml:space="preserve">Agree </t>
        </is>
      </c>
      <c r="BQ71" t="inlineStr">
        <is>
          <t xml:space="preserve">Yes </t>
        </is>
      </c>
      <c r="BS71" t="inlineStr">
        <is>
          <t>All</t>
        </is>
      </c>
      <c r="BT71" t="inlineStr">
        <is>
          <t>Some</t>
        </is>
      </c>
      <c r="BU71" t="inlineStr">
        <is>
          <t>Don't know</t>
        </is>
      </c>
      <c r="CD71" t="inlineStr">
        <is>
          <t xml:space="preserve">Somewhat easy </t>
        </is>
      </c>
      <c r="CE71" t="inlineStr">
        <is>
          <t xml:space="preserve"> Very important</t>
        </is>
      </c>
      <c r="CF71" t="n">
        <v>595938255</v>
      </c>
      <c r="CG71" t="inlineStr">
        <is>
          <t>92dbea0d-6405-44da-8266-e5160d76f7c7</t>
        </is>
      </c>
      <c r="CH71" s="1" t="n">
        <v>45962.55665509259</v>
      </c>
      <c r="CK71" t="inlineStr">
        <is>
          <t>submitted_via_web</t>
        </is>
      </c>
      <c r="CM71" t="inlineStr">
        <is>
          <t>vteYUDpqfKnk39PHFZkvPS</t>
        </is>
      </c>
      <c r="CO71" t="inlineStr">
        <is>
          <t>uuid:92dbea0d-6405-44da-8266-e5160d76f7c7</t>
        </is>
      </c>
      <c r="CP71" t="n">
        <v>70</v>
      </c>
      <c r="CQ71" t="n">
        <v>2</v>
      </c>
      <c r="CR71" t="n">
        <v>-0.7068355868689896</v>
      </c>
    </row>
    <row r="72">
      <c r="A72" s="1" t="n">
        <v>45962.78581629629</v>
      </c>
      <c r="B72" s="1" t="n">
        <v>45962.80233103009</v>
      </c>
      <c r="D72" t="inlineStr">
        <is>
          <t>33</t>
        </is>
      </c>
      <c r="E72" t="inlineStr">
        <is>
          <t>Female</t>
        </is>
      </c>
      <c r="F72" t="inlineStr">
        <is>
          <t>Sinhalese</t>
        </is>
      </c>
      <c r="H72" t="inlineStr">
        <is>
          <t>Buddhist</t>
        </is>
      </c>
      <c r="J72" t="inlineStr">
        <is>
          <t>Government sector</t>
        </is>
      </c>
      <c r="K72" t="inlineStr">
        <is>
          <t>51,000 – 100,000</t>
        </is>
      </c>
      <c r="L72" t="inlineStr">
        <is>
          <t xml:space="preserve">Graduate </t>
        </is>
      </c>
      <c r="M72" t="inlineStr">
        <is>
          <t xml:space="preserve">North Western </t>
        </is>
      </c>
      <c r="N72" t="inlineStr">
        <is>
          <t>Single</t>
        </is>
      </c>
      <c r="P72" t="inlineStr">
        <is>
          <t xml:space="preserve"> I don’t know</t>
        </is>
      </c>
      <c r="R72" s="1" t="n">
        <v>45046</v>
      </c>
      <c r="S72" t="inlineStr">
        <is>
          <t>During community screening</t>
        </is>
      </c>
      <c r="U72" t="inlineStr">
        <is>
          <t>Yes</t>
        </is>
      </c>
      <c r="V72" t="inlineStr">
        <is>
          <t>Thalassemia major (severe form)   Thalassemia minor or trait (carrier form)</t>
        </is>
      </c>
      <c r="W72" t="n">
        <v>1</v>
      </c>
      <c r="X72" t="n">
        <v>1</v>
      </c>
      <c r="Y72" t="n">
        <v>0</v>
      </c>
      <c r="Z72" t="n">
        <v>0</v>
      </c>
      <c r="AA72" t="inlineStr">
        <is>
          <t xml:space="preserve">Thalassemia major (severe form)  </t>
        </is>
      </c>
      <c r="AB72" t="n">
        <v>1</v>
      </c>
      <c r="AC72" t="n">
        <v>0</v>
      </c>
      <c r="AD72" t="n">
        <v>0</v>
      </c>
      <c r="AE72" t="n">
        <v>0</v>
      </c>
      <c r="AF72" t="inlineStr">
        <is>
          <t>Thalassemia minor or trait (carrier form)</t>
        </is>
      </c>
      <c r="AG72" t="n">
        <v>0</v>
      </c>
      <c r="AH72" t="n">
        <v>1</v>
      </c>
      <c r="AI72" t="n">
        <v>0</v>
      </c>
      <c r="AJ72" t="n">
        <v>0</v>
      </c>
      <c r="AK72" t="inlineStr">
        <is>
          <t>Yes</t>
        </is>
      </c>
      <c r="AL72" t="inlineStr">
        <is>
          <t xml:space="preserve">Cannot be cured   </t>
        </is>
      </c>
      <c r="AM72" t="inlineStr">
        <is>
          <t xml:space="preserve">Can be prevented </t>
        </is>
      </c>
      <c r="AN72" t="inlineStr">
        <is>
          <t xml:space="preserve">From generation to generation (hereditary)  </t>
        </is>
      </c>
      <c r="AO72" t="inlineStr">
        <is>
          <t xml:space="preserve">Not healthy  </t>
        </is>
      </c>
      <c r="AP72" t="inlineStr">
        <is>
          <t>Don’t know</t>
        </is>
      </c>
      <c r="AQ72" t="inlineStr">
        <is>
          <t>No</t>
        </is>
      </c>
      <c r="AR72" t="inlineStr">
        <is>
          <t>Don’t know</t>
        </is>
      </c>
      <c r="AS72" t="inlineStr">
        <is>
          <t>Regular blood transfusions for life  Delayed growth and puberty Risk of infections from transfusions Fatigue Bone deformities</t>
        </is>
      </c>
      <c r="AT72" t="n">
        <v>1</v>
      </c>
      <c r="AU72" t="n">
        <v>0</v>
      </c>
      <c r="AV72" t="n">
        <v>1</v>
      </c>
      <c r="AW72" t="n">
        <v>0</v>
      </c>
      <c r="AX72" t="n">
        <v>1</v>
      </c>
      <c r="AY72" t="n">
        <v>0</v>
      </c>
      <c r="AZ72" t="n">
        <v>1</v>
      </c>
      <c r="BA72" t="n">
        <v>1</v>
      </c>
      <c r="BB72" t="inlineStr">
        <is>
          <t xml:space="preserve"> Get the partner tested before marriage   Get family members tested </t>
        </is>
      </c>
      <c r="BC72" t="n">
        <v>1</v>
      </c>
      <c r="BD72" t="n">
        <v>1</v>
      </c>
      <c r="BE72" t="n">
        <v>0</v>
      </c>
      <c r="BF72" t="n">
        <v>0</v>
      </c>
      <c r="BG72" t="inlineStr">
        <is>
          <t>Only found out after screening</t>
        </is>
      </c>
      <c r="BH72" t="inlineStr">
        <is>
          <t>Definitely not</t>
        </is>
      </c>
      <c r="BI72" t="inlineStr">
        <is>
          <t xml:space="preserve">No </t>
        </is>
      </c>
      <c r="BJ72" t="inlineStr">
        <is>
          <t xml:space="preserve">Very important </t>
        </is>
      </c>
      <c r="BP72" t="inlineStr">
        <is>
          <t xml:space="preserve">Agree </t>
        </is>
      </c>
      <c r="BQ72" t="inlineStr">
        <is>
          <t xml:space="preserve">Yes </t>
        </is>
      </c>
      <c r="BS72" t="inlineStr">
        <is>
          <t>Some</t>
        </is>
      </c>
      <c r="BT72" t="inlineStr">
        <is>
          <t>Don't know</t>
        </is>
      </c>
      <c r="BU72" t="inlineStr">
        <is>
          <t>Don't know</t>
        </is>
      </c>
      <c r="BV72" t="inlineStr">
        <is>
          <t>Perception that screening was unnecessary</t>
        </is>
      </c>
      <c r="BW72" t="n">
        <v>0</v>
      </c>
      <c r="BX72" t="n">
        <v>0</v>
      </c>
      <c r="BY72" t="n">
        <v>0</v>
      </c>
      <c r="BZ72" t="n">
        <v>1</v>
      </c>
      <c r="CA72" t="n">
        <v>0</v>
      </c>
      <c r="CB72" t="n">
        <v>0</v>
      </c>
      <c r="CD72" t="inlineStr">
        <is>
          <t xml:space="preserve">Somewhat easy </t>
        </is>
      </c>
      <c r="CE72" t="inlineStr">
        <is>
          <t xml:space="preserve"> Very important</t>
        </is>
      </c>
      <c r="CF72" t="n">
        <v>595952654</v>
      </c>
      <c r="CG72" t="inlineStr">
        <is>
          <t>13183848-66bb-46b4-9e8a-01260e36678d</t>
        </is>
      </c>
      <c r="CH72" s="1" t="n">
        <v>45962.5731712963</v>
      </c>
      <c r="CK72" t="inlineStr">
        <is>
          <t>submitted_via_web</t>
        </is>
      </c>
      <c r="CM72" t="inlineStr">
        <is>
          <t>vteYUDpqfKnk39PHFZkvPS</t>
        </is>
      </c>
      <c r="CO72" t="inlineStr">
        <is>
          <t>uuid:13183848-66bb-46b4-9e8a-01260e36678d</t>
        </is>
      </c>
      <c r="CP72" t="n">
        <v>71</v>
      </c>
      <c r="CQ72" t="n">
        <v>7</v>
      </c>
      <c r="CR72" t="n">
        <v>1.244729701052259</v>
      </c>
    </row>
    <row r="73">
      <c r="A73" s="1" t="n">
        <v>45962.81618875</v>
      </c>
      <c r="B73" s="1" t="n">
        <v>45962.81962576389</v>
      </c>
      <c r="D73" t="inlineStr">
        <is>
          <t>24</t>
        </is>
      </c>
      <c r="E73" t="inlineStr">
        <is>
          <t>Female</t>
        </is>
      </c>
      <c r="F73" t="inlineStr">
        <is>
          <t>Sinhalese</t>
        </is>
      </c>
      <c r="H73" t="inlineStr">
        <is>
          <t>Buddhist</t>
        </is>
      </c>
      <c r="J73" t="inlineStr">
        <is>
          <t>Not employed</t>
        </is>
      </c>
      <c r="L73" t="inlineStr">
        <is>
          <t xml:space="preserve">Undergraduate </t>
        </is>
      </c>
      <c r="M73" t="inlineStr">
        <is>
          <t>Western</t>
        </is>
      </c>
      <c r="N73" t="inlineStr">
        <is>
          <t>Single</t>
        </is>
      </c>
      <c r="P73" t="inlineStr">
        <is>
          <t xml:space="preserve"> I don’t know</t>
        </is>
      </c>
      <c r="R73" s="1" t="n">
        <v>43594</v>
      </c>
      <c r="S73" t="inlineStr">
        <is>
          <t>Individual or family screening after a relative was diagnosed</t>
        </is>
      </c>
      <c r="U73" t="inlineStr">
        <is>
          <t>Yes</t>
        </is>
      </c>
      <c r="V73" t="inlineStr">
        <is>
          <t>Thalassemia major (severe form)   Thalassemia minor or trait (carrier form)</t>
        </is>
      </c>
      <c r="W73" t="n">
        <v>1</v>
      </c>
      <c r="X73" t="n">
        <v>1</v>
      </c>
      <c r="Y73" t="n">
        <v>0</v>
      </c>
      <c r="Z73" t="n">
        <v>0</v>
      </c>
      <c r="AA73" t="inlineStr">
        <is>
          <t xml:space="preserve">Thalassemia major (severe form)  </t>
        </is>
      </c>
      <c r="AB73" t="n">
        <v>1</v>
      </c>
      <c r="AC73" t="n">
        <v>0</v>
      </c>
      <c r="AD73" t="n">
        <v>0</v>
      </c>
      <c r="AE73" t="n">
        <v>0</v>
      </c>
      <c r="AF73" t="inlineStr">
        <is>
          <t>Thalassemia minor or trait (carrier form)</t>
        </is>
      </c>
      <c r="AG73" t="n">
        <v>0</v>
      </c>
      <c r="AH73" t="n">
        <v>1</v>
      </c>
      <c r="AI73" t="n">
        <v>0</v>
      </c>
      <c r="AJ73" t="n">
        <v>0</v>
      </c>
      <c r="AK73" t="inlineStr">
        <is>
          <t>Yes</t>
        </is>
      </c>
      <c r="AL73" t="inlineStr">
        <is>
          <t xml:space="preserve">Cannot be cured   </t>
        </is>
      </c>
      <c r="AM73" t="inlineStr">
        <is>
          <t xml:space="preserve">Can be prevented </t>
        </is>
      </c>
      <c r="AN73" t="inlineStr">
        <is>
          <t xml:space="preserve">From generation to generation (hereditary)  </t>
        </is>
      </c>
      <c r="AO73" t="inlineStr">
        <is>
          <t>Healthy</t>
        </is>
      </c>
      <c r="AP73" t="inlineStr">
        <is>
          <t>Always affected by thalassemia</t>
        </is>
      </c>
      <c r="AQ73" t="inlineStr">
        <is>
          <t xml:space="preserve">Yes </t>
        </is>
      </c>
      <c r="AR73" t="inlineStr">
        <is>
          <t>Don’t know</t>
        </is>
      </c>
      <c r="AS73" t="inlineStr">
        <is>
          <t>Regular blood transfusions for life  Iron overload affecting heart and liver  Fatigue</t>
        </is>
      </c>
      <c r="AT73" t="n">
        <v>1</v>
      </c>
      <c r="AU73" t="n">
        <v>1</v>
      </c>
      <c r="AV73" t="n">
        <v>0</v>
      </c>
      <c r="AW73" t="n">
        <v>0</v>
      </c>
      <c r="AX73" t="n">
        <v>0</v>
      </c>
      <c r="AY73" t="n">
        <v>0</v>
      </c>
      <c r="AZ73" t="n">
        <v>1</v>
      </c>
      <c r="BA73" t="n">
        <v>0</v>
      </c>
      <c r="BB73" t="inlineStr">
        <is>
          <t xml:space="preserve"> Get the partner tested before marriage   Get family members tested </t>
        </is>
      </c>
      <c r="BC73" t="n">
        <v>1</v>
      </c>
      <c r="BD73" t="n">
        <v>1</v>
      </c>
      <c r="BE73" t="n">
        <v>0</v>
      </c>
      <c r="BF73" t="n">
        <v>0</v>
      </c>
      <c r="BG73" t="inlineStr">
        <is>
          <t xml:space="preserve">Healthcare staff (doctors and nurses) </t>
        </is>
      </c>
      <c r="BH73" t="inlineStr">
        <is>
          <t>Definitely not</t>
        </is>
      </c>
      <c r="BI73" t="inlineStr">
        <is>
          <t xml:space="preserve">No </t>
        </is>
      </c>
      <c r="BJ73" t="inlineStr">
        <is>
          <t xml:space="preserve">Very important </t>
        </is>
      </c>
      <c r="BP73" t="inlineStr">
        <is>
          <t xml:space="preserve">Agree </t>
        </is>
      </c>
      <c r="BQ73" t="inlineStr">
        <is>
          <t xml:space="preserve">Yes </t>
        </is>
      </c>
      <c r="BS73" t="inlineStr">
        <is>
          <t>All</t>
        </is>
      </c>
      <c r="BT73" t="inlineStr">
        <is>
          <t>All</t>
        </is>
      </c>
      <c r="BU73" t="inlineStr">
        <is>
          <t>All</t>
        </is>
      </c>
      <c r="CD73" t="inlineStr">
        <is>
          <t xml:space="preserve">Somewhat easy </t>
        </is>
      </c>
      <c r="CE73" t="inlineStr">
        <is>
          <t xml:space="preserve">Important </t>
        </is>
      </c>
      <c r="CF73" t="n">
        <v>595968469</v>
      </c>
      <c r="CG73" t="inlineStr">
        <is>
          <t>42ac619f-4e95-485e-95c2-103a63eedebc</t>
        </is>
      </c>
      <c r="CH73" s="1" t="n">
        <v>45962.59048611111</v>
      </c>
      <c r="CK73" t="inlineStr">
        <is>
          <t>submitted_via_web</t>
        </is>
      </c>
      <c r="CM73" t="inlineStr">
        <is>
          <t>vteYUDpqfKnk39PHFZkvPS</t>
        </is>
      </c>
      <c r="CO73" t="inlineStr">
        <is>
          <t>uuid:42ac619f-4e95-485e-95c2-103a63eedebc</t>
        </is>
      </c>
      <c r="CP73" t="n">
        <v>72</v>
      </c>
      <c r="CQ73" t="n">
        <v>5</v>
      </c>
      <c r="CR73" t="n">
        <v>0.4641035858837596</v>
      </c>
    </row>
    <row r="74">
      <c r="A74" s="1" t="n">
        <v>45962.81962641203</v>
      </c>
      <c r="B74" s="1" t="n">
        <v>45962.82318722222</v>
      </c>
      <c r="D74" t="inlineStr">
        <is>
          <t>25</t>
        </is>
      </c>
      <c r="E74" t="inlineStr">
        <is>
          <t xml:space="preserve">Male </t>
        </is>
      </c>
      <c r="F74" t="inlineStr">
        <is>
          <t>Sinhalese</t>
        </is>
      </c>
      <c r="H74" t="inlineStr">
        <is>
          <t>Buddhist</t>
        </is>
      </c>
      <c r="J74" t="inlineStr">
        <is>
          <t>Not employed</t>
        </is>
      </c>
      <c r="L74" t="inlineStr">
        <is>
          <t xml:space="preserve">Undergraduate </t>
        </is>
      </c>
      <c r="M74" t="inlineStr">
        <is>
          <t>Western</t>
        </is>
      </c>
      <c r="N74" t="inlineStr">
        <is>
          <t>Single</t>
        </is>
      </c>
      <c r="P74" t="inlineStr">
        <is>
          <t>No</t>
        </is>
      </c>
      <c r="S74" t="inlineStr">
        <is>
          <t xml:space="preserve">During school/university  </t>
        </is>
      </c>
      <c r="U74" t="inlineStr">
        <is>
          <t>Yes</t>
        </is>
      </c>
      <c r="V74" t="inlineStr">
        <is>
          <t>Thalassemia major (severe form)   Thalassemia minor or trait (carrier form)</t>
        </is>
      </c>
      <c r="W74" t="n">
        <v>1</v>
      </c>
      <c r="X74" t="n">
        <v>1</v>
      </c>
      <c r="Y74" t="n">
        <v>0</v>
      </c>
      <c r="Z74" t="n">
        <v>0</v>
      </c>
      <c r="AA74" t="inlineStr">
        <is>
          <t xml:space="preserve">Thalassemia major (severe form)  </t>
        </is>
      </c>
      <c r="AB74" t="n">
        <v>1</v>
      </c>
      <c r="AC74" t="n">
        <v>0</v>
      </c>
      <c r="AD74" t="n">
        <v>0</v>
      </c>
      <c r="AE74" t="n">
        <v>0</v>
      </c>
      <c r="AF74" t="inlineStr">
        <is>
          <t>Thalassemia minor or trait (carrier form)</t>
        </is>
      </c>
      <c r="AG74" t="n">
        <v>0</v>
      </c>
      <c r="AH74" t="n">
        <v>1</v>
      </c>
      <c r="AI74" t="n">
        <v>0</v>
      </c>
      <c r="AJ74" t="n">
        <v>0</v>
      </c>
      <c r="AK74" t="inlineStr">
        <is>
          <t>Yes</t>
        </is>
      </c>
      <c r="AL74" t="inlineStr">
        <is>
          <t xml:space="preserve">Cannot be cured   </t>
        </is>
      </c>
      <c r="AM74" t="inlineStr">
        <is>
          <t xml:space="preserve">Can be prevented </t>
        </is>
      </c>
      <c r="AN74" t="inlineStr">
        <is>
          <t xml:space="preserve">From generation to generation (hereditary)  </t>
        </is>
      </c>
      <c r="AO74" t="inlineStr">
        <is>
          <t>Healthy</t>
        </is>
      </c>
      <c r="AP74" t="inlineStr">
        <is>
          <t>Always affected by thalassemia</t>
        </is>
      </c>
      <c r="AQ74" t="inlineStr">
        <is>
          <t xml:space="preserve">Yes </t>
        </is>
      </c>
      <c r="AR74" t="inlineStr">
        <is>
          <t>Don’t know</t>
        </is>
      </c>
      <c r="AS74" t="inlineStr">
        <is>
          <t xml:space="preserve">Regular blood transfusions for life  Iron overload affecting heart and liver </t>
        </is>
      </c>
      <c r="AT74" t="n">
        <v>1</v>
      </c>
      <c r="AU74" t="n">
        <v>1</v>
      </c>
      <c r="AV74" t="n">
        <v>0</v>
      </c>
      <c r="AW74" t="n">
        <v>0</v>
      </c>
      <c r="AX74" t="n">
        <v>0</v>
      </c>
      <c r="AY74" t="n">
        <v>0</v>
      </c>
      <c r="AZ74" t="n">
        <v>0</v>
      </c>
      <c r="BA74" t="n">
        <v>0</v>
      </c>
      <c r="BB74" t="inlineStr">
        <is>
          <t xml:space="preserve"> Get the partner tested before marriage   Get family members tested </t>
        </is>
      </c>
      <c r="BC74" t="n">
        <v>1</v>
      </c>
      <c r="BD74" t="n">
        <v>1</v>
      </c>
      <c r="BE74" t="n">
        <v>0</v>
      </c>
      <c r="BF74" t="n">
        <v>0</v>
      </c>
      <c r="BG74" t="inlineStr">
        <is>
          <t xml:space="preserve">School  </t>
        </is>
      </c>
      <c r="BH74" t="inlineStr">
        <is>
          <t xml:space="preserve">Not sure </t>
        </is>
      </c>
      <c r="BI74" t="inlineStr">
        <is>
          <t>Not sure</t>
        </is>
      </c>
      <c r="BJ74" t="inlineStr">
        <is>
          <t xml:space="preserve">Not sure </t>
        </is>
      </c>
      <c r="BP74" t="inlineStr">
        <is>
          <t>Don’t know</t>
        </is>
      </c>
      <c r="BQ74" t="inlineStr">
        <is>
          <t xml:space="preserve">Yes </t>
        </is>
      </c>
      <c r="BS74" t="inlineStr">
        <is>
          <t>Some</t>
        </is>
      </c>
      <c r="BT74" t="inlineStr">
        <is>
          <t>None</t>
        </is>
      </c>
      <c r="BU74" t="inlineStr">
        <is>
          <t>None</t>
        </is>
      </c>
      <c r="BV74" t="inlineStr">
        <is>
          <t xml:space="preserve">Lack of knowledge </t>
        </is>
      </c>
      <c r="BW74" t="n">
        <v>1</v>
      </c>
      <c r="BX74" t="n">
        <v>0</v>
      </c>
      <c r="BY74" t="n">
        <v>0</v>
      </c>
      <c r="BZ74" t="n">
        <v>0</v>
      </c>
      <c r="CA74" t="n">
        <v>0</v>
      </c>
      <c r="CB74" t="n">
        <v>0</v>
      </c>
      <c r="CD74" t="inlineStr">
        <is>
          <t xml:space="preserve">Somewhat easy </t>
        </is>
      </c>
      <c r="CE74" t="inlineStr">
        <is>
          <t xml:space="preserve">Slightly important </t>
        </is>
      </c>
      <c r="CF74" t="n">
        <v>595970862</v>
      </c>
      <c r="CG74" t="inlineStr">
        <is>
          <t>acf17722-2abd-4cf2-9f73-6899b61cd9f0</t>
        </is>
      </c>
      <c r="CH74" s="1" t="n">
        <v>45962.59403935185</v>
      </c>
      <c r="CK74" t="inlineStr">
        <is>
          <t>submitted_via_web</t>
        </is>
      </c>
      <c r="CM74" t="inlineStr">
        <is>
          <t>vteYUDpqfKnk39PHFZkvPS</t>
        </is>
      </c>
      <c r="CO74" t="inlineStr">
        <is>
          <t>uuid:acf17722-2abd-4cf2-9f73-6899b61cd9f0</t>
        </is>
      </c>
      <c r="CP74" t="n">
        <v>73</v>
      </c>
      <c r="CQ74" t="n">
        <v>4</v>
      </c>
      <c r="CR74" t="n">
        <v>0.07379052829950983</v>
      </c>
    </row>
    <row r="75">
      <c r="A75" s="1" t="n">
        <v>45962.82318826389</v>
      </c>
      <c r="B75" s="1" t="n">
        <v>45962.82475953703</v>
      </c>
      <c r="D75" t="inlineStr">
        <is>
          <t>24</t>
        </is>
      </c>
      <c r="E75" t="inlineStr">
        <is>
          <t xml:space="preserve">Male </t>
        </is>
      </c>
      <c r="F75" t="inlineStr">
        <is>
          <t>Sinhalese</t>
        </is>
      </c>
      <c r="H75" t="inlineStr">
        <is>
          <t>Buddhist</t>
        </is>
      </c>
      <c r="J75" t="inlineStr">
        <is>
          <t>Not employed</t>
        </is>
      </c>
      <c r="L75" t="inlineStr">
        <is>
          <t xml:space="preserve">Undergraduate </t>
        </is>
      </c>
      <c r="M75" t="inlineStr">
        <is>
          <t>Western</t>
        </is>
      </c>
      <c r="N75" t="inlineStr">
        <is>
          <t>Single</t>
        </is>
      </c>
      <c r="P75" t="inlineStr">
        <is>
          <t>No</t>
        </is>
      </c>
      <c r="S75" t="inlineStr">
        <is>
          <t xml:space="preserve">During school/university  </t>
        </is>
      </c>
      <c r="U75" t="inlineStr">
        <is>
          <t>Yes</t>
        </is>
      </c>
      <c r="V75" t="inlineStr">
        <is>
          <t>Thalassemia major (severe form)   Thalassemia minor or trait (carrier form)</t>
        </is>
      </c>
      <c r="W75" t="n">
        <v>1</v>
      </c>
      <c r="X75" t="n">
        <v>1</v>
      </c>
      <c r="Y75" t="n">
        <v>0</v>
      </c>
      <c r="Z75" t="n">
        <v>0</v>
      </c>
      <c r="AA75" t="inlineStr">
        <is>
          <t xml:space="preserve">Thalassemia major (severe form)  </t>
        </is>
      </c>
      <c r="AB75" t="n">
        <v>1</v>
      </c>
      <c r="AC75" t="n">
        <v>0</v>
      </c>
      <c r="AD75" t="n">
        <v>0</v>
      </c>
      <c r="AE75" t="n">
        <v>0</v>
      </c>
      <c r="AF75" t="inlineStr">
        <is>
          <t xml:space="preserve">Thalassemia major (severe form)  </t>
        </is>
      </c>
      <c r="AG75" t="n">
        <v>1</v>
      </c>
      <c r="AH75" t="n">
        <v>0</v>
      </c>
      <c r="AI75" t="n">
        <v>0</v>
      </c>
      <c r="AJ75" t="n">
        <v>0</v>
      </c>
      <c r="AK75" t="inlineStr">
        <is>
          <t>Yes</t>
        </is>
      </c>
      <c r="AL75" t="inlineStr">
        <is>
          <t xml:space="preserve">Cannot be cured   </t>
        </is>
      </c>
      <c r="AM75" t="inlineStr">
        <is>
          <t xml:space="preserve">Can be prevented </t>
        </is>
      </c>
      <c r="AN75" t="inlineStr">
        <is>
          <t xml:space="preserve">From generation to generation (hereditary)  </t>
        </is>
      </c>
      <c r="AO75" t="inlineStr">
        <is>
          <t>Healthy</t>
        </is>
      </c>
      <c r="AP75" t="inlineStr">
        <is>
          <t>Always affected by thalassemia</t>
        </is>
      </c>
      <c r="AQ75" t="inlineStr">
        <is>
          <t xml:space="preserve">Yes </t>
        </is>
      </c>
      <c r="AR75" t="inlineStr">
        <is>
          <t>Don’t know</t>
        </is>
      </c>
      <c r="AS75" t="inlineStr">
        <is>
          <t xml:space="preserve">Regular blood transfusions for life </t>
        </is>
      </c>
      <c r="AT75" t="n">
        <v>1</v>
      </c>
      <c r="AU75" t="n">
        <v>0</v>
      </c>
      <c r="AV75" t="n">
        <v>0</v>
      </c>
      <c r="AW75" t="n">
        <v>0</v>
      </c>
      <c r="AX75" t="n">
        <v>0</v>
      </c>
      <c r="AY75" t="n">
        <v>0</v>
      </c>
      <c r="AZ75" t="n">
        <v>0</v>
      </c>
      <c r="BA75" t="n">
        <v>0</v>
      </c>
      <c r="BB75" t="inlineStr">
        <is>
          <t xml:space="preserve"> Get the partner tested before marriage   Get family members tested </t>
        </is>
      </c>
      <c r="BC75" t="n">
        <v>1</v>
      </c>
      <c r="BD75" t="n">
        <v>1</v>
      </c>
      <c r="BE75" t="n">
        <v>0</v>
      </c>
      <c r="BF75" t="n">
        <v>0</v>
      </c>
      <c r="BG75" t="inlineStr">
        <is>
          <t xml:space="preserve">School  </t>
        </is>
      </c>
      <c r="BH75" t="inlineStr">
        <is>
          <t>Definitely not</t>
        </is>
      </c>
      <c r="BI75" t="inlineStr">
        <is>
          <t>Not sure</t>
        </is>
      </c>
      <c r="BJ75" t="inlineStr">
        <is>
          <t xml:space="preserve">Important </t>
        </is>
      </c>
      <c r="BP75" t="inlineStr">
        <is>
          <t xml:space="preserve">Agree </t>
        </is>
      </c>
      <c r="BQ75" t="inlineStr">
        <is>
          <t xml:space="preserve">Yes </t>
        </is>
      </c>
      <c r="BS75" t="inlineStr">
        <is>
          <t>Some</t>
        </is>
      </c>
      <c r="BT75" t="inlineStr">
        <is>
          <t>None</t>
        </is>
      </c>
      <c r="BU75" t="inlineStr">
        <is>
          <t>None</t>
        </is>
      </c>
      <c r="BV75" t="inlineStr">
        <is>
          <t xml:space="preserve">Lack of knowledge </t>
        </is>
      </c>
      <c r="BW75" t="n">
        <v>1</v>
      </c>
      <c r="BX75" t="n">
        <v>0</v>
      </c>
      <c r="BY75" t="n">
        <v>0</v>
      </c>
      <c r="BZ75" t="n">
        <v>0</v>
      </c>
      <c r="CA75" t="n">
        <v>0</v>
      </c>
      <c r="CB75" t="n">
        <v>0</v>
      </c>
      <c r="CD75" t="inlineStr">
        <is>
          <t xml:space="preserve">Difficult </t>
        </is>
      </c>
      <c r="CE75" t="inlineStr">
        <is>
          <t xml:space="preserve">Important </t>
        </is>
      </c>
      <c r="CF75" t="n">
        <v>595971993</v>
      </c>
      <c r="CG75" t="inlineStr">
        <is>
          <t>a4fc7f2a-24d1-49df-b296-c6506edfe89a</t>
        </is>
      </c>
      <c r="CH75" s="1" t="n">
        <v>45962.59560185186</v>
      </c>
      <c r="CK75" t="inlineStr">
        <is>
          <t>submitted_via_web</t>
        </is>
      </c>
      <c r="CM75" t="inlineStr">
        <is>
          <t>vteYUDpqfKnk39PHFZkvPS</t>
        </is>
      </c>
      <c r="CO75" t="inlineStr">
        <is>
          <t>uuid:a4fc7f2a-24d1-49df-b296-c6506edfe89a</t>
        </is>
      </c>
      <c r="CP75" t="n">
        <v>74</v>
      </c>
      <c r="CQ75" t="n">
        <v>3</v>
      </c>
      <c r="CR75" t="n">
        <v>-0.3165225292847399</v>
      </c>
    </row>
    <row r="76">
      <c r="A76" s="1" t="n">
        <v>45962.79887148148</v>
      </c>
      <c r="B76" s="1" t="n">
        <v>45962.82878574074</v>
      </c>
      <c r="D76" t="inlineStr">
        <is>
          <t>22</t>
        </is>
      </c>
      <c r="E76" t="inlineStr">
        <is>
          <t xml:space="preserve">Male </t>
        </is>
      </c>
      <c r="F76" t="inlineStr">
        <is>
          <t>Sinhalese</t>
        </is>
      </c>
      <c r="H76" t="inlineStr">
        <is>
          <t>Buddhist</t>
        </is>
      </c>
      <c r="J76" t="inlineStr">
        <is>
          <t>Not employed</t>
        </is>
      </c>
      <c r="K76" t="inlineStr">
        <is>
          <t>25,000 – 50,000</t>
        </is>
      </c>
      <c r="L76" t="inlineStr">
        <is>
          <t xml:space="preserve">Undergraduate </t>
        </is>
      </c>
      <c r="M76" t="inlineStr">
        <is>
          <t xml:space="preserve">Sabaragamuwa </t>
        </is>
      </c>
      <c r="N76" t="inlineStr">
        <is>
          <t>Single</t>
        </is>
      </c>
      <c r="P76" t="inlineStr">
        <is>
          <t xml:space="preserve"> I don’t know</t>
        </is>
      </c>
      <c r="R76" s="1" t="n">
        <v>45962</v>
      </c>
      <c r="S76" t="inlineStr">
        <is>
          <t xml:space="preserve">During school/university  </t>
        </is>
      </c>
      <c r="U76" t="inlineStr">
        <is>
          <t>Yes</t>
        </is>
      </c>
      <c r="V76" t="inlineStr">
        <is>
          <t xml:space="preserve">Thalassemia major (severe form)  </t>
        </is>
      </c>
      <c r="W76" t="n">
        <v>1</v>
      </c>
      <c r="X76" t="n">
        <v>0</v>
      </c>
      <c r="Y76" t="n">
        <v>0</v>
      </c>
      <c r="Z76" t="n">
        <v>0</v>
      </c>
      <c r="AA76" t="inlineStr">
        <is>
          <t xml:space="preserve">Thalassemia major (severe form)  </t>
        </is>
      </c>
      <c r="AB76" t="n">
        <v>1</v>
      </c>
      <c r="AC76" t="n">
        <v>0</v>
      </c>
      <c r="AD76" t="n">
        <v>0</v>
      </c>
      <c r="AE76" t="n">
        <v>0</v>
      </c>
      <c r="AF76" t="inlineStr">
        <is>
          <t>Thalassemia minor or trait (carrier form)</t>
        </is>
      </c>
      <c r="AG76" t="n">
        <v>0</v>
      </c>
      <c r="AH76" t="n">
        <v>1</v>
      </c>
      <c r="AI76" t="n">
        <v>0</v>
      </c>
      <c r="AJ76" t="n">
        <v>0</v>
      </c>
      <c r="AK76" t="inlineStr">
        <is>
          <t>Yes</t>
        </is>
      </c>
      <c r="AL76" t="inlineStr">
        <is>
          <t>Very difficult (e.g., bone marrow transplant)</t>
        </is>
      </c>
      <c r="AM76" t="inlineStr">
        <is>
          <t xml:space="preserve">Can be prevented </t>
        </is>
      </c>
      <c r="AN76" t="inlineStr">
        <is>
          <t xml:space="preserve">From generation to generation (hereditary)  </t>
        </is>
      </c>
      <c r="AO76" t="inlineStr">
        <is>
          <t>Healthy</t>
        </is>
      </c>
      <c r="AP76" t="inlineStr">
        <is>
          <t xml:space="preserve">Has a chance to be affected (e.g., 25%) </t>
        </is>
      </c>
      <c r="AQ76" t="inlineStr">
        <is>
          <t xml:space="preserve">Yes </t>
        </is>
      </c>
      <c r="AR76" t="inlineStr">
        <is>
          <t xml:space="preserve">40–100  </t>
        </is>
      </c>
      <c r="AS76" t="inlineStr">
        <is>
          <t>Regular blood transfusions for life  Iron overload affecting heart and liver  Delayed growth and puberty Risk of diabetes, infertility, and hormonal issues  Risk of infections from transfusions Fatigue Bone deformities</t>
        </is>
      </c>
      <c r="AT76" t="n">
        <v>1</v>
      </c>
      <c r="AU76" t="n">
        <v>1</v>
      </c>
      <c r="AV76" t="n">
        <v>1</v>
      </c>
      <c r="AW76" t="n">
        <v>1</v>
      </c>
      <c r="AX76" t="n">
        <v>1</v>
      </c>
      <c r="AY76" t="n">
        <v>0</v>
      </c>
      <c r="AZ76" t="n">
        <v>1</v>
      </c>
      <c r="BA76" t="n">
        <v>1</v>
      </c>
      <c r="BB76" t="inlineStr">
        <is>
          <t xml:space="preserve"> Get the partner tested before marriage   Get family members tested </t>
        </is>
      </c>
      <c r="BC76" t="n">
        <v>1</v>
      </c>
      <c r="BD76" t="n">
        <v>1</v>
      </c>
      <c r="BE76" t="n">
        <v>0</v>
      </c>
      <c r="BF76" t="n">
        <v>0</v>
      </c>
      <c r="BG76" t="inlineStr">
        <is>
          <t xml:space="preserve">School  </t>
        </is>
      </c>
      <c r="BH76" t="inlineStr">
        <is>
          <t>Definitely not</t>
        </is>
      </c>
      <c r="BI76" t="inlineStr">
        <is>
          <t xml:space="preserve">No </t>
        </is>
      </c>
      <c r="BJ76" t="inlineStr">
        <is>
          <t xml:space="preserve">Very important </t>
        </is>
      </c>
      <c r="BK76" t="inlineStr">
        <is>
          <t>Other</t>
        </is>
      </c>
      <c r="BL76" t="inlineStr">
        <is>
          <t>I am not married</t>
        </is>
      </c>
      <c r="BM76" t="inlineStr">
        <is>
          <t>Other</t>
        </is>
      </c>
      <c r="BN76" t="inlineStr">
        <is>
          <t>I am not married</t>
        </is>
      </c>
      <c r="BP76" t="inlineStr">
        <is>
          <t xml:space="preserve">Agree </t>
        </is>
      </c>
      <c r="BQ76" t="inlineStr">
        <is>
          <t>No</t>
        </is>
      </c>
      <c r="BS76" t="inlineStr">
        <is>
          <t>Don't know</t>
        </is>
      </c>
      <c r="BT76" t="inlineStr">
        <is>
          <t>Don't know</t>
        </is>
      </c>
      <c r="BU76" t="inlineStr">
        <is>
          <t>Don't know</t>
        </is>
      </c>
      <c r="CD76" t="inlineStr">
        <is>
          <t>Not sure</t>
        </is>
      </c>
      <c r="CE76" t="inlineStr">
        <is>
          <t xml:space="preserve"> Very important</t>
        </is>
      </c>
      <c r="CF76" t="n">
        <v>595974850</v>
      </c>
      <c r="CG76" t="inlineStr">
        <is>
          <t>583450b8-e020-4d3e-bd4a-95ab074a5dc1</t>
        </is>
      </c>
      <c r="CH76" s="1" t="n">
        <v>45962.59964120371</v>
      </c>
      <c r="CK76" t="inlineStr">
        <is>
          <t>submitted_via_web</t>
        </is>
      </c>
      <c r="CM76" t="inlineStr">
        <is>
          <t>vteYUDpqfKnk39PHFZkvPS</t>
        </is>
      </c>
      <c r="CO76" t="inlineStr">
        <is>
          <t>uuid:583450b8-e020-4d3e-bd4a-95ab074a5dc1</t>
        </is>
      </c>
      <c r="CP76" t="n">
        <v>75</v>
      </c>
      <c r="CQ76" t="n">
        <v>8</v>
      </c>
      <c r="CR76" t="n">
        <v>1.635042758636509</v>
      </c>
    </row>
    <row r="77">
      <c r="A77" s="1" t="n">
        <v>45962.80233136574</v>
      </c>
      <c r="B77" s="1" t="n">
        <v>45962.83224524306</v>
      </c>
      <c r="D77" t="inlineStr">
        <is>
          <t>25</t>
        </is>
      </c>
      <c r="E77" t="inlineStr">
        <is>
          <t>Female</t>
        </is>
      </c>
      <c r="F77" t="inlineStr">
        <is>
          <t>Tamil</t>
        </is>
      </c>
      <c r="H77" t="inlineStr">
        <is>
          <t>Hindu</t>
        </is>
      </c>
      <c r="J77" t="inlineStr">
        <is>
          <t>Government sector</t>
        </is>
      </c>
      <c r="K77" t="inlineStr">
        <is>
          <t>51,000 – 100,000</t>
        </is>
      </c>
      <c r="L77" t="inlineStr">
        <is>
          <t xml:space="preserve">Undergraduate </t>
        </is>
      </c>
      <c r="M77" t="inlineStr">
        <is>
          <t>Eastern</t>
        </is>
      </c>
      <c r="N77" t="inlineStr">
        <is>
          <t>Single</t>
        </is>
      </c>
      <c r="P77" t="inlineStr">
        <is>
          <t>No</t>
        </is>
      </c>
      <c r="R77" s="1" t="n">
        <v>45159</v>
      </c>
      <c r="S77" t="inlineStr">
        <is>
          <t xml:space="preserve">During school/university  </t>
        </is>
      </c>
      <c r="U77" t="inlineStr">
        <is>
          <t>Yes</t>
        </is>
      </c>
      <c r="V77" t="inlineStr">
        <is>
          <t>Thalassemia major (severe form)   Thalassemia minor or trait (carrier form)</t>
        </is>
      </c>
      <c r="W77" t="n">
        <v>1</v>
      </c>
      <c r="X77" t="n">
        <v>1</v>
      </c>
      <c r="Y77" t="n">
        <v>0</v>
      </c>
      <c r="Z77" t="n">
        <v>0</v>
      </c>
      <c r="AA77" t="inlineStr">
        <is>
          <t>Thalassemia minor or trait (carrier form)</t>
        </is>
      </c>
      <c r="AB77" t="n">
        <v>0</v>
      </c>
      <c r="AC77" t="n">
        <v>1</v>
      </c>
      <c r="AD77" t="n">
        <v>0</v>
      </c>
      <c r="AE77" t="n">
        <v>0</v>
      </c>
      <c r="AF77" t="inlineStr">
        <is>
          <t>Thalassemia minor or trait (carrier form)</t>
        </is>
      </c>
      <c r="AG77" t="n">
        <v>0</v>
      </c>
      <c r="AH77" t="n">
        <v>1</v>
      </c>
      <c r="AI77" t="n">
        <v>0</v>
      </c>
      <c r="AJ77" t="n">
        <v>0</v>
      </c>
      <c r="AK77" t="inlineStr">
        <is>
          <t>Yes</t>
        </is>
      </c>
      <c r="AL77" t="inlineStr">
        <is>
          <t>Very difficult (e.g., bone marrow transplant)</t>
        </is>
      </c>
      <c r="AM77" t="inlineStr">
        <is>
          <t xml:space="preserve">Can be prevented </t>
        </is>
      </c>
      <c r="AN77" t="inlineStr">
        <is>
          <t xml:space="preserve">From generation to generation (hereditary)  </t>
        </is>
      </c>
      <c r="AO77" t="inlineStr">
        <is>
          <t>Healthy</t>
        </is>
      </c>
      <c r="AP77" t="inlineStr">
        <is>
          <t xml:space="preserve">Has a chance to be affected (e.g., 25%) </t>
        </is>
      </c>
      <c r="AR77" t="inlineStr">
        <is>
          <t>Don’t know</t>
        </is>
      </c>
      <c r="AS77" t="inlineStr">
        <is>
          <t>Regular blood transfusions for life  Delayed growth and puberty Risk of infections from transfusions Frequent nosebleeds Fatigue Bone deformities</t>
        </is>
      </c>
      <c r="AT77" t="n">
        <v>1</v>
      </c>
      <c r="AU77" t="n">
        <v>0</v>
      </c>
      <c r="AV77" t="n">
        <v>1</v>
      </c>
      <c r="AW77" t="n">
        <v>0</v>
      </c>
      <c r="AX77" t="n">
        <v>1</v>
      </c>
      <c r="AY77" t="n">
        <v>1</v>
      </c>
      <c r="AZ77" t="n">
        <v>1</v>
      </c>
      <c r="BA77" t="n">
        <v>1</v>
      </c>
      <c r="BB77" t="inlineStr">
        <is>
          <t xml:space="preserve"> Get the partner tested before marriage   Get family members tested </t>
        </is>
      </c>
      <c r="BC77" t="n">
        <v>1</v>
      </c>
      <c r="BD77" t="n">
        <v>1</v>
      </c>
      <c r="BE77" t="n">
        <v>0</v>
      </c>
      <c r="BF77" t="n">
        <v>0</v>
      </c>
      <c r="BG77" t="inlineStr">
        <is>
          <t xml:space="preserve">School  </t>
        </is>
      </c>
      <c r="BH77" t="inlineStr">
        <is>
          <t>Definitely not</t>
        </is>
      </c>
      <c r="BI77" t="inlineStr">
        <is>
          <t xml:space="preserve">No </t>
        </is>
      </c>
      <c r="BJ77" t="inlineStr">
        <is>
          <t xml:space="preserve">Very important </t>
        </is>
      </c>
      <c r="BP77" t="inlineStr">
        <is>
          <t xml:space="preserve">Agree </t>
        </is>
      </c>
      <c r="BQ77" t="inlineStr">
        <is>
          <t xml:space="preserve">Yes </t>
        </is>
      </c>
      <c r="BS77" t="inlineStr">
        <is>
          <t>Some</t>
        </is>
      </c>
      <c r="BT77" t="inlineStr">
        <is>
          <t>Don't know</t>
        </is>
      </c>
      <c r="BU77" t="inlineStr">
        <is>
          <t>Don't know</t>
        </is>
      </c>
      <c r="BV77" t="inlineStr">
        <is>
          <t>Perception that screening was unnecessary</t>
        </is>
      </c>
      <c r="BW77" t="n">
        <v>0</v>
      </c>
      <c r="BX77" t="n">
        <v>0</v>
      </c>
      <c r="BY77" t="n">
        <v>0</v>
      </c>
      <c r="BZ77" t="n">
        <v>1</v>
      </c>
      <c r="CA77" t="n">
        <v>0</v>
      </c>
      <c r="CB77" t="n">
        <v>0</v>
      </c>
      <c r="CD77" t="inlineStr">
        <is>
          <t xml:space="preserve">Somewhat easy </t>
        </is>
      </c>
      <c r="CE77" t="inlineStr">
        <is>
          <t xml:space="preserve">Important </t>
        </is>
      </c>
      <c r="CF77" t="n">
        <v>595977942</v>
      </c>
      <c r="CG77" t="inlineStr">
        <is>
          <t>24c034c6-99d8-45b4-8715-7818363b7df8</t>
        </is>
      </c>
      <c r="CH77" s="1" t="n">
        <v>45962.60310185186</v>
      </c>
      <c r="CK77" t="inlineStr">
        <is>
          <t>submitted_via_web</t>
        </is>
      </c>
      <c r="CM77" t="inlineStr">
        <is>
          <t>vteYUDpqfKnk39PHFZkvPS</t>
        </is>
      </c>
      <c r="CO77" t="inlineStr">
        <is>
          <t>uuid:24c034c6-99d8-45b4-8715-7818363b7df8</t>
        </is>
      </c>
      <c r="CP77" t="n">
        <v>76</v>
      </c>
      <c r="CQ77" t="n">
        <v>8</v>
      </c>
      <c r="CR77" t="n">
        <v>1.635042758636509</v>
      </c>
    </row>
    <row r="78">
      <c r="A78" s="1" t="n">
        <v>45962.83224581018</v>
      </c>
      <c r="B78" s="1" t="n">
        <v>45962.84717434028</v>
      </c>
      <c r="D78" t="inlineStr">
        <is>
          <t>47</t>
        </is>
      </c>
      <c r="E78" t="inlineStr">
        <is>
          <t>Female</t>
        </is>
      </c>
      <c r="F78" t="inlineStr">
        <is>
          <t>Sinhalese</t>
        </is>
      </c>
      <c r="H78" t="inlineStr">
        <is>
          <t>Buddhist</t>
        </is>
      </c>
      <c r="J78" t="inlineStr">
        <is>
          <t>Private sector</t>
        </is>
      </c>
      <c r="K78" t="inlineStr">
        <is>
          <t>25,000 – 50,000</t>
        </is>
      </c>
      <c r="L78" t="inlineStr">
        <is>
          <t xml:space="preserve">Up to O/L </t>
        </is>
      </c>
      <c r="M78" t="inlineStr">
        <is>
          <t xml:space="preserve">North Western </t>
        </is>
      </c>
      <c r="N78" t="inlineStr">
        <is>
          <t xml:space="preserve">Married </t>
        </is>
      </c>
      <c r="O78" t="inlineStr">
        <is>
          <t xml:space="preserve">Yes, more than one child </t>
        </is>
      </c>
      <c r="P78" t="inlineStr">
        <is>
          <t>No</t>
        </is>
      </c>
      <c r="R78" s="1" t="n">
        <v>45046</v>
      </c>
      <c r="S78" t="inlineStr">
        <is>
          <t>During community screening</t>
        </is>
      </c>
      <c r="U78" t="inlineStr">
        <is>
          <t>Yes</t>
        </is>
      </c>
      <c r="V78" t="inlineStr">
        <is>
          <t>I don’t know</t>
        </is>
      </c>
      <c r="W78" t="n">
        <v>0</v>
      </c>
      <c r="X78" t="n">
        <v>0</v>
      </c>
      <c r="Y78" t="n">
        <v>0</v>
      </c>
      <c r="Z78" t="n">
        <v>1</v>
      </c>
      <c r="AA78" t="inlineStr">
        <is>
          <t>I don’t know</t>
        </is>
      </c>
      <c r="AB78" t="n">
        <v>0</v>
      </c>
      <c r="AC78" t="n">
        <v>0</v>
      </c>
      <c r="AD78" t="n">
        <v>0</v>
      </c>
      <c r="AE78" t="n">
        <v>1</v>
      </c>
      <c r="AF78" t="inlineStr">
        <is>
          <t>I don’t know</t>
        </is>
      </c>
      <c r="AG78" t="n">
        <v>0</v>
      </c>
      <c r="AH78" t="n">
        <v>0</v>
      </c>
      <c r="AI78" t="n">
        <v>0</v>
      </c>
      <c r="AJ78" t="n">
        <v>1</v>
      </c>
      <c r="AK78" t="inlineStr">
        <is>
          <t>Yes</t>
        </is>
      </c>
      <c r="AL78" t="inlineStr">
        <is>
          <t xml:space="preserve">Cannot be cured   </t>
        </is>
      </c>
      <c r="AM78" t="inlineStr">
        <is>
          <t>Not sure</t>
        </is>
      </c>
      <c r="AN78" t="inlineStr">
        <is>
          <t>Don’t know</t>
        </is>
      </c>
      <c r="AO78" t="inlineStr">
        <is>
          <t>Don’t know</t>
        </is>
      </c>
      <c r="AP78" t="inlineStr">
        <is>
          <t>Always affected by thalassemia</t>
        </is>
      </c>
      <c r="AQ78" t="inlineStr">
        <is>
          <t>No</t>
        </is>
      </c>
      <c r="AR78" t="inlineStr">
        <is>
          <t>Don’t know</t>
        </is>
      </c>
      <c r="BB78" t="inlineStr">
        <is>
          <t xml:space="preserve">Get family members tested </t>
        </is>
      </c>
      <c r="BC78" t="n">
        <v>0</v>
      </c>
      <c r="BD78" t="n">
        <v>1</v>
      </c>
      <c r="BE78" t="n">
        <v>0</v>
      </c>
      <c r="BF78" t="n">
        <v>0</v>
      </c>
      <c r="BG78" t="inlineStr">
        <is>
          <t>Only found out after screening</t>
        </is>
      </c>
      <c r="BH78" t="inlineStr">
        <is>
          <t xml:space="preserve">Not sure </t>
        </is>
      </c>
      <c r="BI78" t="inlineStr">
        <is>
          <t xml:space="preserve">No </t>
        </is>
      </c>
      <c r="BJ78" t="inlineStr">
        <is>
          <t xml:space="preserve">Very important </t>
        </is>
      </c>
      <c r="BK78" t="inlineStr">
        <is>
          <t xml:space="preserve"> Partner was screened after marriage </t>
        </is>
      </c>
      <c r="BP78" t="inlineStr">
        <is>
          <t xml:space="preserve">Agree </t>
        </is>
      </c>
      <c r="BQ78" t="inlineStr">
        <is>
          <t xml:space="preserve">Yes </t>
        </is>
      </c>
      <c r="BS78" t="inlineStr">
        <is>
          <t>Some</t>
        </is>
      </c>
      <c r="BT78" t="inlineStr">
        <is>
          <t>Don't know</t>
        </is>
      </c>
      <c r="BU78" t="inlineStr">
        <is>
          <t>Don't know</t>
        </is>
      </c>
      <c r="BV78" t="inlineStr">
        <is>
          <t>Perception that screening was unnecessary Other</t>
        </is>
      </c>
      <c r="BW78" t="n">
        <v>0</v>
      </c>
      <c r="BX78" t="n">
        <v>0</v>
      </c>
      <c r="BY78" t="n">
        <v>0</v>
      </c>
      <c r="BZ78" t="n">
        <v>1</v>
      </c>
      <c r="CA78" t="n">
        <v>0</v>
      </c>
      <c r="CB78" t="n">
        <v>1</v>
      </c>
      <c r="CC78" t="inlineStr">
        <is>
          <t>Lack of time</t>
        </is>
      </c>
      <c r="CD78" t="inlineStr">
        <is>
          <t xml:space="preserve">Difficult </t>
        </is>
      </c>
      <c r="CE78" t="inlineStr">
        <is>
          <t xml:space="preserve">Important </t>
        </is>
      </c>
      <c r="CF78" t="n">
        <v>595988602</v>
      </c>
      <c r="CG78" t="inlineStr">
        <is>
          <t>88660405-b17d-4351-98f6-8ba539144afc</t>
        </is>
      </c>
      <c r="CH78" s="1" t="n">
        <v>45962.61803240741</v>
      </c>
      <c r="CK78" t="inlineStr">
        <is>
          <t>submitted_via_web</t>
        </is>
      </c>
      <c r="CM78" t="inlineStr">
        <is>
          <t>vteYUDpqfKnk39PHFZkvPS</t>
        </is>
      </c>
      <c r="CO78" t="inlineStr">
        <is>
          <t>uuid:88660405-b17d-4351-98f6-8ba539144afc</t>
        </is>
      </c>
      <c r="CP78" t="n">
        <v>77</v>
      </c>
      <c r="CQ78" t="n">
        <v>0</v>
      </c>
      <c r="CR78" t="n">
        <v>-1.487461702037489</v>
      </c>
    </row>
    <row r="79">
      <c r="A79" s="1" t="n">
        <v>45962.8471746875</v>
      </c>
      <c r="B79" s="1" t="n">
        <v>45962.86252986111</v>
      </c>
      <c r="D79" t="inlineStr">
        <is>
          <t>55</t>
        </is>
      </c>
      <c r="E79" t="inlineStr">
        <is>
          <t xml:space="preserve">Male </t>
        </is>
      </c>
      <c r="F79" t="inlineStr">
        <is>
          <t>Sinhalese</t>
        </is>
      </c>
      <c r="H79" t="inlineStr">
        <is>
          <t>Buddhist</t>
        </is>
      </c>
      <c r="J79" t="inlineStr">
        <is>
          <t>Self-employed</t>
        </is>
      </c>
      <c r="K79" t="inlineStr">
        <is>
          <t>51,000 – 100,000</t>
        </is>
      </c>
      <c r="L79" t="inlineStr">
        <is>
          <t xml:space="preserve">Up to O/L </t>
        </is>
      </c>
      <c r="M79" t="inlineStr">
        <is>
          <t xml:space="preserve">North Western </t>
        </is>
      </c>
      <c r="N79" t="inlineStr">
        <is>
          <t xml:space="preserve">Married </t>
        </is>
      </c>
      <c r="O79" t="inlineStr">
        <is>
          <t xml:space="preserve">Yes, only one child </t>
        </is>
      </c>
      <c r="P79" t="inlineStr">
        <is>
          <t xml:space="preserve"> I don’t know</t>
        </is>
      </c>
      <c r="R79" s="1" t="n">
        <v>45046</v>
      </c>
      <c r="S79" t="inlineStr">
        <is>
          <t>During community screening</t>
        </is>
      </c>
      <c r="U79" t="inlineStr">
        <is>
          <t>Yes</t>
        </is>
      </c>
      <c r="V79" t="inlineStr">
        <is>
          <t>Thalassemia major (severe form)   Thalassemia minor or trait (carrier form)</t>
        </is>
      </c>
      <c r="W79" t="n">
        <v>1</v>
      </c>
      <c r="X79" t="n">
        <v>1</v>
      </c>
      <c r="Y79" t="n">
        <v>0</v>
      </c>
      <c r="Z79" t="n">
        <v>0</v>
      </c>
      <c r="AA79" t="inlineStr">
        <is>
          <t xml:space="preserve">Thalassemia major (severe form)  </t>
        </is>
      </c>
      <c r="AB79" t="n">
        <v>1</v>
      </c>
      <c r="AC79" t="n">
        <v>0</v>
      </c>
      <c r="AD79" t="n">
        <v>0</v>
      </c>
      <c r="AE79" t="n">
        <v>0</v>
      </c>
      <c r="AF79" t="inlineStr">
        <is>
          <t>Thalassemia minor or trait (carrier form)</t>
        </is>
      </c>
      <c r="AG79" t="n">
        <v>0</v>
      </c>
      <c r="AH79" t="n">
        <v>1</v>
      </c>
      <c r="AI79" t="n">
        <v>0</v>
      </c>
      <c r="AJ79" t="n">
        <v>0</v>
      </c>
      <c r="AK79" t="inlineStr">
        <is>
          <t>Don’t know</t>
        </is>
      </c>
      <c r="AL79" t="inlineStr">
        <is>
          <t xml:space="preserve">Cannot be cured   </t>
        </is>
      </c>
      <c r="AM79" t="inlineStr">
        <is>
          <t xml:space="preserve">Can be prevented </t>
        </is>
      </c>
      <c r="AN79" t="inlineStr">
        <is>
          <t xml:space="preserve">From generation to generation (hereditary)  </t>
        </is>
      </c>
      <c r="AO79" t="inlineStr">
        <is>
          <t>Healthy</t>
        </is>
      </c>
      <c r="AP79" t="inlineStr">
        <is>
          <t>Always affected by thalassemia</t>
        </is>
      </c>
      <c r="AQ79" t="inlineStr">
        <is>
          <t xml:space="preserve">Yes </t>
        </is>
      </c>
      <c r="AR79" t="inlineStr">
        <is>
          <t>Don’t know</t>
        </is>
      </c>
      <c r="AS79" t="inlineStr">
        <is>
          <t xml:space="preserve">Regular blood transfusions for life </t>
        </is>
      </c>
      <c r="AT79" t="n">
        <v>1</v>
      </c>
      <c r="AU79" t="n">
        <v>0</v>
      </c>
      <c r="AV79" t="n">
        <v>0</v>
      </c>
      <c r="AW79" t="n">
        <v>0</v>
      </c>
      <c r="AX79" t="n">
        <v>0</v>
      </c>
      <c r="AY79" t="n">
        <v>0</v>
      </c>
      <c r="AZ79" t="n">
        <v>0</v>
      </c>
      <c r="BA79" t="n">
        <v>0</v>
      </c>
      <c r="BB79" t="inlineStr">
        <is>
          <t xml:space="preserve"> Get the partner tested before marriage   Get family members tested </t>
        </is>
      </c>
      <c r="BC79" t="n">
        <v>1</v>
      </c>
      <c r="BD79" t="n">
        <v>1</v>
      </c>
      <c r="BE79" t="n">
        <v>0</v>
      </c>
      <c r="BF79" t="n">
        <v>0</v>
      </c>
      <c r="BG79" t="inlineStr">
        <is>
          <t>Only found out after screening</t>
        </is>
      </c>
      <c r="BH79" t="inlineStr">
        <is>
          <t xml:space="preserve">Not sure </t>
        </is>
      </c>
      <c r="BI79" t="inlineStr">
        <is>
          <t xml:space="preserve">No </t>
        </is>
      </c>
      <c r="BJ79" t="inlineStr">
        <is>
          <t xml:space="preserve">Very important </t>
        </is>
      </c>
      <c r="BK79" t="inlineStr">
        <is>
          <t xml:space="preserve"> Partner was screened after marriage </t>
        </is>
      </c>
      <c r="BP79" t="inlineStr">
        <is>
          <t xml:space="preserve">Agree </t>
        </is>
      </c>
      <c r="BQ79" t="inlineStr">
        <is>
          <t xml:space="preserve">Yes </t>
        </is>
      </c>
      <c r="BS79" t="inlineStr">
        <is>
          <t>All</t>
        </is>
      </c>
      <c r="BT79" t="inlineStr">
        <is>
          <t>Some</t>
        </is>
      </c>
      <c r="BU79" t="inlineStr">
        <is>
          <t>Don't know</t>
        </is>
      </c>
      <c r="CD79" t="inlineStr">
        <is>
          <t xml:space="preserve">Somewhat easy </t>
        </is>
      </c>
      <c r="CE79" t="inlineStr">
        <is>
          <t xml:space="preserve"> Very important</t>
        </is>
      </c>
      <c r="CF79" t="n">
        <v>595999146</v>
      </c>
      <c r="CG79" t="inlineStr">
        <is>
          <t>ce6c1676-2a15-4836-a8a2-18eb3ea56d5a</t>
        </is>
      </c>
      <c r="CH79" s="1" t="n">
        <v>45962.63337962963</v>
      </c>
      <c r="CK79" t="inlineStr">
        <is>
          <t>submitted_via_web</t>
        </is>
      </c>
      <c r="CM79" t="inlineStr">
        <is>
          <t>vteYUDpqfKnk39PHFZkvPS</t>
        </is>
      </c>
      <c r="CO79" t="inlineStr">
        <is>
          <t>uuid:ce6c1676-2a15-4836-a8a2-18eb3ea56d5a</t>
        </is>
      </c>
      <c r="CP79" t="n">
        <v>78</v>
      </c>
      <c r="CQ79" t="n">
        <v>3</v>
      </c>
      <c r="CR79" t="n">
        <v>-0.3165225292847399</v>
      </c>
    </row>
    <row r="80">
      <c r="A80" s="1" t="n">
        <v>45962.86253017361</v>
      </c>
      <c r="B80" s="1" t="n">
        <v>45963.35367987269</v>
      </c>
      <c r="D80" t="inlineStr">
        <is>
          <t>38</t>
        </is>
      </c>
      <c r="E80" t="inlineStr">
        <is>
          <t xml:space="preserve">Male </t>
        </is>
      </c>
      <c r="F80" t="inlineStr">
        <is>
          <t>Sinhalese</t>
        </is>
      </c>
      <c r="H80" t="inlineStr">
        <is>
          <t>Buddhist</t>
        </is>
      </c>
      <c r="J80" t="inlineStr">
        <is>
          <t>Government sector</t>
        </is>
      </c>
      <c r="K80" t="inlineStr">
        <is>
          <t>51,000 – 100,000</t>
        </is>
      </c>
      <c r="L80" t="inlineStr">
        <is>
          <t xml:space="preserve">Up to O/L </t>
        </is>
      </c>
      <c r="M80" t="inlineStr">
        <is>
          <t>Western</t>
        </is>
      </c>
      <c r="N80" t="inlineStr">
        <is>
          <t xml:space="preserve">Married </t>
        </is>
      </c>
      <c r="O80" t="inlineStr">
        <is>
          <t xml:space="preserve">Yes, only one child </t>
        </is>
      </c>
      <c r="P80" t="inlineStr">
        <is>
          <t>No</t>
        </is>
      </c>
      <c r="R80" s="1" t="n">
        <v>44144</v>
      </c>
      <c r="S80" t="inlineStr">
        <is>
          <t>During community screening</t>
        </is>
      </c>
      <c r="U80" t="inlineStr">
        <is>
          <t>Don’t know</t>
        </is>
      </c>
      <c r="V80" t="inlineStr">
        <is>
          <t>I don’t know</t>
        </is>
      </c>
      <c r="W80" t="n">
        <v>0</v>
      </c>
      <c r="X80" t="n">
        <v>0</v>
      </c>
      <c r="Y80" t="n">
        <v>0</v>
      </c>
      <c r="Z80" t="n">
        <v>1</v>
      </c>
      <c r="AA80" t="inlineStr">
        <is>
          <t>I don’t know</t>
        </is>
      </c>
      <c r="AB80" t="n">
        <v>0</v>
      </c>
      <c r="AC80" t="n">
        <v>0</v>
      </c>
      <c r="AD80" t="n">
        <v>0</v>
      </c>
      <c r="AE80" t="n">
        <v>1</v>
      </c>
      <c r="AF80" t="inlineStr">
        <is>
          <t>Thalassemia minor or trait (carrier form)</t>
        </is>
      </c>
      <c r="AG80" t="n">
        <v>0</v>
      </c>
      <c r="AH80" t="n">
        <v>1</v>
      </c>
      <c r="AI80" t="n">
        <v>0</v>
      </c>
      <c r="AJ80" t="n">
        <v>0</v>
      </c>
      <c r="AK80" t="inlineStr">
        <is>
          <t>Don’t know</t>
        </is>
      </c>
      <c r="AL80" t="inlineStr">
        <is>
          <t>Don’t know</t>
        </is>
      </c>
      <c r="AM80" t="inlineStr">
        <is>
          <t>Not sure</t>
        </is>
      </c>
      <c r="AN80" t="inlineStr">
        <is>
          <t xml:space="preserve">From generation to generation (hereditary)  </t>
        </is>
      </c>
      <c r="AO80" t="inlineStr">
        <is>
          <t>Healthy</t>
        </is>
      </c>
      <c r="AP80" t="inlineStr">
        <is>
          <t>Always affected by thalassemia</t>
        </is>
      </c>
      <c r="AQ80" t="inlineStr">
        <is>
          <t>No</t>
        </is>
      </c>
      <c r="AR80" t="inlineStr">
        <is>
          <t>Don’t know</t>
        </is>
      </c>
      <c r="AS80" t="inlineStr">
        <is>
          <t xml:space="preserve">Regular blood transfusions for life </t>
        </is>
      </c>
      <c r="AT80" t="n">
        <v>1</v>
      </c>
      <c r="AU80" t="n">
        <v>0</v>
      </c>
      <c r="AV80" t="n">
        <v>0</v>
      </c>
      <c r="AW80" t="n">
        <v>0</v>
      </c>
      <c r="AX80" t="n">
        <v>0</v>
      </c>
      <c r="AY80" t="n">
        <v>0</v>
      </c>
      <c r="AZ80" t="n">
        <v>0</v>
      </c>
      <c r="BA80" t="n">
        <v>0</v>
      </c>
      <c r="BB80" t="inlineStr">
        <is>
          <t>I don’t know</t>
        </is>
      </c>
      <c r="BC80" t="n">
        <v>0</v>
      </c>
      <c r="BD80" t="n">
        <v>0</v>
      </c>
      <c r="BE80" t="n">
        <v>0</v>
      </c>
      <c r="BF80" t="n">
        <v>1</v>
      </c>
      <c r="BG80" t="inlineStr">
        <is>
          <t>Only found out after screening</t>
        </is>
      </c>
      <c r="BH80" t="inlineStr">
        <is>
          <t xml:space="preserve">Yes I have </t>
        </is>
      </c>
      <c r="BI80" t="inlineStr">
        <is>
          <t xml:space="preserve">No </t>
        </is>
      </c>
      <c r="BJ80" t="inlineStr">
        <is>
          <t xml:space="preserve">Important </t>
        </is>
      </c>
      <c r="BK80" t="inlineStr">
        <is>
          <t>Partner was screened during pregnancy</t>
        </is>
      </c>
      <c r="BP80" t="inlineStr">
        <is>
          <t>Don’t know</t>
        </is>
      </c>
      <c r="BQ80" t="inlineStr">
        <is>
          <t xml:space="preserve">Yes </t>
        </is>
      </c>
      <c r="BS80" t="inlineStr">
        <is>
          <t>None</t>
        </is>
      </c>
      <c r="BT80" t="inlineStr">
        <is>
          <t>Don't know</t>
        </is>
      </c>
      <c r="BU80" t="inlineStr">
        <is>
          <t>Don't know</t>
        </is>
      </c>
      <c r="BV80" t="inlineStr">
        <is>
          <t>Perception that screening was unnecessary</t>
        </is>
      </c>
      <c r="BW80" t="n">
        <v>0</v>
      </c>
      <c r="BX80" t="n">
        <v>0</v>
      </c>
      <c r="BY80" t="n">
        <v>0</v>
      </c>
      <c r="BZ80" t="n">
        <v>1</v>
      </c>
      <c r="CA80" t="n">
        <v>0</v>
      </c>
      <c r="CB80" t="n">
        <v>0</v>
      </c>
      <c r="CD80" t="inlineStr">
        <is>
          <t>Not sure</t>
        </is>
      </c>
      <c r="CE80" t="inlineStr">
        <is>
          <t xml:space="preserve">Important </t>
        </is>
      </c>
      <c r="CF80" t="n">
        <v>596194642</v>
      </c>
      <c r="CG80" t="inlineStr">
        <is>
          <t>d33461c1-c27e-4587-8df1-3ac72c8852c9</t>
        </is>
      </c>
      <c r="CH80" s="1" t="n">
        <v>45963.12451388889</v>
      </c>
      <c r="CK80" t="inlineStr">
        <is>
          <t>submitted_via_web</t>
        </is>
      </c>
      <c r="CM80" t="inlineStr">
        <is>
          <t>vteYUDpqfKnk39PHFZkvPS</t>
        </is>
      </c>
      <c r="CO80" t="inlineStr">
        <is>
          <t>uuid:d33461c1-c27e-4587-8df1-3ac72c8852c9</t>
        </is>
      </c>
      <c r="CP80" t="n">
        <v>79</v>
      </c>
      <c r="CQ80" t="n">
        <v>1</v>
      </c>
      <c r="CR80" t="n">
        <v>-1.097148644453239</v>
      </c>
    </row>
    <row r="81">
      <c r="A81" s="1" t="n">
        <v>45963.51301038195</v>
      </c>
      <c r="B81" s="1" t="n">
        <v>45963.51960259259</v>
      </c>
      <c r="D81" t="inlineStr">
        <is>
          <t>27</t>
        </is>
      </c>
      <c r="E81" t="inlineStr">
        <is>
          <t>Female</t>
        </is>
      </c>
      <c r="F81" t="inlineStr">
        <is>
          <t>Sinhalese</t>
        </is>
      </c>
      <c r="H81" t="inlineStr">
        <is>
          <t>Buddhist</t>
        </is>
      </c>
      <c r="K81" t="inlineStr">
        <is>
          <t>&lt; 25,000</t>
        </is>
      </c>
      <c r="L81" t="inlineStr">
        <is>
          <t xml:space="preserve">Undergraduate </t>
        </is>
      </c>
      <c r="M81" t="inlineStr">
        <is>
          <t xml:space="preserve">North Western </t>
        </is>
      </c>
      <c r="N81" t="inlineStr">
        <is>
          <t>Single</t>
        </is>
      </c>
      <c r="P81" t="inlineStr">
        <is>
          <t xml:space="preserve"> Yes </t>
        </is>
      </c>
      <c r="Q81" t="inlineStr">
        <is>
          <t>In</t>
        </is>
      </c>
      <c r="R81" s="1" t="n">
        <v>41427</v>
      </c>
      <c r="S81" t="inlineStr">
        <is>
          <t xml:space="preserve">During school/university  </t>
        </is>
      </c>
      <c r="U81" t="inlineStr">
        <is>
          <t>Yes</t>
        </is>
      </c>
      <c r="V81" t="inlineStr">
        <is>
          <t xml:space="preserve">Thalassemia major (severe form)   Thalassemia minor or trait (carrier form) Thalassemia intermedia (moderate form) </t>
        </is>
      </c>
      <c r="W81" t="n">
        <v>1</v>
      </c>
      <c r="X81" t="n">
        <v>1</v>
      </c>
      <c r="Y81" t="n">
        <v>1</v>
      </c>
      <c r="Z81" t="n">
        <v>0</v>
      </c>
      <c r="AA81" t="inlineStr">
        <is>
          <t xml:space="preserve">Thalassemia major (severe form)  </t>
        </is>
      </c>
      <c r="AB81" t="n">
        <v>1</v>
      </c>
      <c r="AC81" t="n">
        <v>0</v>
      </c>
      <c r="AD81" t="n">
        <v>0</v>
      </c>
      <c r="AE81" t="n">
        <v>0</v>
      </c>
      <c r="AF81" t="inlineStr">
        <is>
          <t>Thalassemia minor or trait (carrier form)</t>
        </is>
      </c>
      <c r="AG81" t="n">
        <v>0</v>
      </c>
      <c r="AH81" t="n">
        <v>1</v>
      </c>
      <c r="AI81" t="n">
        <v>0</v>
      </c>
      <c r="AJ81" t="n">
        <v>0</v>
      </c>
      <c r="AK81" t="inlineStr">
        <is>
          <t>Yes</t>
        </is>
      </c>
      <c r="AL81" t="inlineStr">
        <is>
          <t>Very difficult (e.g., bone marrow transplant)</t>
        </is>
      </c>
      <c r="AM81" t="inlineStr">
        <is>
          <t xml:space="preserve">Can be prevented </t>
        </is>
      </c>
      <c r="AN81" t="inlineStr">
        <is>
          <t xml:space="preserve">From generation to generation (hereditary)  </t>
        </is>
      </c>
      <c r="AO81" t="inlineStr">
        <is>
          <t>Healthy</t>
        </is>
      </c>
      <c r="AP81" t="inlineStr">
        <is>
          <t xml:space="preserve">Has a chance to be affected (e.g., 25%) </t>
        </is>
      </c>
      <c r="AQ81" t="inlineStr">
        <is>
          <t>No</t>
        </is>
      </c>
      <c r="AR81" t="inlineStr">
        <is>
          <t>Don’t know</t>
        </is>
      </c>
      <c r="AS81" t="inlineStr">
        <is>
          <t>Regular blood transfusions for life  Iron overload affecting heart and liver  Risk of infections from transfusions Fatigue Bone deformities</t>
        </is>
      </c>
      <c r="AT81" t="n">
        <v>1</v>
      </c>
      <c r="AU81" t="n">
        <v>1</v>
      </c>
      <c r="AV81" t="n">
        <v>0</v>
      </c>
      <c r="AW81" t="n">
        <v>0</v>
      </c>
      <c r="AX81" t="n">
        <v>1</v>
      </c>
      <c r="AY81" t="n">
        <v>0</v>
      </c>
      <c r="AZ81" t="n">
        <v>1</v>
      </c>
      <c r="BA81" t="n">
        <v>1</v>
      </c>
      <c r="BB81" t="inlineStr">
        <is>
          <t xml:space="preserve"> Get the partner tested before marriage   Get family members tested </t>
        </is>
      </c>
      <c r="BC81" t="n">
        <v>1</v>
      </c>
      <c r="BD81" t="n">
        <v>1</v>
      </c>
      <c r="BE81" t="n">
        <v>0</v>
      </c>
      <c r="BF81" t="n">
        <v>0</v>
      </c>
      <c r="BG81" t="inlineStr">
        <is>
          <t xml:space="preserve">Healthcare staff (doctors and nurses) </t>
        </is>
      </c>
      <c r="BH81" t="inlineStr">
        <is>
          <t>Definitely not</t>
        </is>
      </c>
      <c r="BI81" t="inlineStr">
        <is>
          <t xml:space="preserve">No </t>
        </is>
      </c>
      <c r="BJ81" t="inlineStr">
        <is>
          <t xml:space="preserve">Very important </t>
        </is>
      </c>
      <c r="BK81" t="inlineStr">
        <is>
          <t>Partner was screened before marriage</t>
        </is>
      </c>
      <c r="BM81" t="inlineStr">
        <is>
          <t xml:space="preserve">Cultural or family pressure </t>
        </is>
      </c>
      <c r="BP81" t="inlineStr">
        <is>
          <t xml:space="preserve">Agree </t>
        </is>
      </c>
      <c r="BQ81" t="inlineStr">
        <is>
          <t xml:space="preserve">Yes </t>
        </is>
      </c>
      <c r="BS81" t="inlineStr">
        <is>
          <t>Some</t>
        </is>
      </c>
      <c r="BT81" t="inlineStr">
        <is>
          <t>Some</t>
        </is>
      </c>
      <c r="BU81" t="inlineStr">
        <is>
          <t>Don't know</t>
        </is>
      </c>
      <c r="BV81" t="inlineStr">
        <is>
          <t xml:space="preserve">Lack of knowledge </t>
        </is>
      </c>
      <c r="BW81" t="n">
        <v>1</v>
      </c>
      <c r="BX81" t="n">
        <v>0</v>
      </c>
      <c r="BY81" t="n">
        <v>0</v>
      </c>
      <c r="BZ81" t="n">
        <v>0</v>
      </c>
      <c r="CA81" t="n">
        <v>0</v>
      </c>
      <c r="CB81" t="n">
        <v>0</v>
      </c>
      <c r="CD81" t="inlineStr">
        <is>
          <t xml:space="preserve">Somewhat easy </t>
        </is>
      </c>
      <c r="CE81" t="inlineStr">
        <is>
          <t xml:space="preserve"> Very important</t>
        </is>
      </c>
      <c r="CF81" t="n">
        <v>596259547</v>
      </c>
      <c r="CG81" t="inlineStr">
        <is>
          <t>85e24d70-9323-406b-8eaa-d4312b1b153c</t>
        </is>
      </c>
      <c r="CH81" s="1" t="n">
        <v>45963.29045138889</v>
      </c>
      <c r="CK81" t="inlineStr">
        <is>
          <t>submitted_via_web</t>
        </is>
      </c>
      <c r="CM81" t="inlineStr">
        <is>
          <t>vteYUDpqfKnk39PHFZkvPS</t>
        </is>
      </c>
      <c r="CO81" t="inlineStr">
        <is>
          <t>uuid:85e24d70-9323-406b-8eaa-d4312b1b153c</t>
        </is>
      </c>
      <c r="CP81" t="n">
        <v>80</v>
      </c>
      <c r="CQ81" t="n">
        <v>8</v>
      </c>
      <c r="CR81" t="n">
        <v>1.635042758636509</v>
      </c>
    </row>
    <row r="82">
      <c r="A82" s="1" t="n">
        <v>45963.35368028935</v>
      </c>
      <c r="B82" s="1" t="n">
        <v>45963.5553417824</v>
      </c>
      <c r="D82" t="inlineStr">
        <is>
          <t>51</t>
        </is>
      </c>
      <c r="E82" t="inlineStr">
        <is>
          <t xml:space="preserve">Male </t>
        </is>
      </c>
      <c r="F82" t="inlineStr">
        <is>
          <t>Sinhalese</t>
        </is>
      </c>
      <c r="H82" t="inlineStr">
        <is>
          <t>Buddhist</t>
        </is>
      </c>
      <c r="J82" t="inlineStr">
        <is>
          <t>Private sector</t>
        </is>
      </c>
      <c r="K82" t="inlineStr">
        <is>
          <t>51,000 – 100,000</t>
        </is>
      </c>
      <c r="L82" t="inlineStr">
        <is>
          <t xml:space="preserve">Up to A/L </t>
        </is>
      </c>
      <c r="M82" t="inlineStr">
        <is>
          <t>Western</t>
        </is>
      </c>
      <c r="N82" t="inlineStr">
        <is>
          <t xml:space="preserve">Married </t>
        </is>
      </c>
      <c r="O82" t="inlineStr">
        <is>
          <t xml:space="preserve">Yes, more than one child </t>
        </is>
      </c>
      <c r="P82" t="inlineStr">
        <is>
          <t xml:space="preserve"> Yes </t>
        </is>
      </c>
      <c r="Q82" t="inlineStr">
        <is>
          <t>Thalassemia trait</t>
        </is>
      </c>
      <c r="R82" s="1" t="n">
        <v>44100</v>
      </c>
      <c r="S82" t="inlineStr">
        <is>
          <t>Individual or family screening after a relative was diagnosed</t>
        </is>
      </c>
      <c r="U82" t="inlineStr">
        <is>
          <t>Yes</t>
        </is>
      </c>
      <c r="V82" t="inlineStr">
        <is>
          <t>Thalassemia major (severe form)   Thalassemia minor or trait (carrier form)</t>
        </is>
      </c>
      <c r="W82" t="n">
        <v>1</v>
      </c>
      <c r="X82" t="n">
        <v>1</v>
      </c>
      <c r="Y82" t="n">
        <v>0</v>
      </c>
      <c r="Z82" t="n">
        <v>0</v>
      </c>
      <c r="AA82" t="inlineStr">
        <is>
          <t xml:space="preserve">Thalassemia major (severe form)  </t>
        </is>
      </c>
      <c r="AB82" t="n">
        <v>1</v>
      </c>
      <c r="AC82" t="n">
        <v>0</v>
      </c>
      <c r="AD82" t="n">
        <v>0</v>
      </c>
      <c r="AE82" t="n">
        <v>0</v>
      </c>
      <c r="AF82" t="inlineStr">
        <is>
          <t>Thalassemia minor or trait (carrier form)</t>
        </is>
      </c>
      <c r="AG82" t="n">
        <v>0</v>
      </c>
      <c r="AH82" t="n">
        <v>1</v>
      </c>
      <c r="AI82" t="n">
        <v>0</v>
      </c>
      <c r="AJ82" t="n">
        <v>0</v>
      </c>
      <c r="AK82" t="inlineStr">
        <is>
          <t>Yes</t>
        </is>
      </c>
      <c r="AL82" t="inlineStr">
        <is>
          <t xml:space="preserve">Cannot be cured   </t>
        </is>
      </c>
      <c r="AM82" t="inlineStr">
        <is>
          <t xml:space="preserve">Can be prevented </t>
        </is>
      </c>
      <c r="AN82" t="inlineStr">
        <is>
          <t xml:space="preserve">From generation to generation (hereditary)  </t>
        </is>
      </c>
      <c r="AO82" t="inlineStr">
        <is>
          <t>Healthy</t>
        </is>
      </c>
      <c r="AP82" t="inlineStr">
        <is>
          <t xml:space="preserve">Has a chance to be affected (e.g., 25%) </t>
        </is>
      </c>
      <c r="AQ82" t="inlineStr">
        <is>
          <t>No</t>
        </is>
      </c>
      <c r="AR82" t="inlineStr">
        <is>
          <t>Don’t know</t>
        </is>
      </c>
      <c r="AS82" t="inlineStr">
        <is>
          <t>Regular blood transfusions for life  Delayed growth and puberty Frequent nosebleeds Fatigue Bone deformities</t>
        </is>
      </c>
      <c r="AT82" t="n">
        <v>1</v>
      </c>
      <c r="AU82" t="n">
        <v>0</v>
      </c>
      <c r="AV82" t="n">
        <v>1</v>
      </c>
      <c r="AW82" t="n">
        <v>0</v>
      </c>
      <c r="AX82" t="n">
        <v>0</v>
      </c>
      <c r="AY82" t="n">
        <v>1</v>
      </c>
      <c r="AZ82" t="n">
        <v>1</v>
      </c>
      <c r="BA82" t="n">
        <v>1</v>
      </c>
      <c r="BB82" t="inlineStr">
        <is>
          <t xml:space="preserve"> Get the partner tested before marriage   Get family members tested </t>
        </is>
      </c>
      <c r="BC82" t="n">
        <v>1</v>
      </c>
      <c r="BD82" t="n">
        <v>1</v>
      </c>
      <c r="BE82" t="n">
        <v>0</v>
      </c>
      <c r="BF82" t="n">
        <v>0</v>
      </c>
      <c r="BG82" t="inlineStr">
        <is>
          <t>Only found out after screening</t>
        </is>
      </c>
      <c r="BH82" t="inlineStr">
        <is>
          <t>Definitely not</t>
        </is>
      </c>
      <c r="BI82" t="inlineStr">
        <is>
          <t xml:space="preserve">No </t>
        </is>
      </c>
      <c r="BJ82" t="inlineStr">
        <is>
          <t xml:space="preserve">Very important </t>
        </is>
      </c>
      <c r="BK82" t="inlineStr">
        <is>
          <t xml:space="preserve"> Partner was screened after marriage </t>
        </is>
      </c>
      <c r="BP82" t="inlineStr">
        <is>
          <t xml:space="preserve">Agree </t>
        </is>
      </c>
      <c r="BQ82" t="inlineStr">
        <is>
          <t xml:space="preserve">Yes </t>
        </is>
      </c>
      <c r="BS82" t="inlineStr">
        <is>
          <t>All</t>
        </is>
      </c>
      <c r="BT82" t="inlineStr">
        <is>
          <t>Some</t>
        </is>
      </c>
      <c r="BU82" t="inlineStr">
        <is>
          <t>Don't know</t>
        </is>
      </c>
      <c r="CD82" t="inlineStr">
        <is>
          <t xml:space="preserve">Very easy </t>
        </is>
      </c>
      <c r="CE82" t="inlineStr">
        <is>
          <t xml:space="preserve"> Very important</t>
        </is>
      </c>
      <c r="CF82" t="n">
        <v>596280882</v>
      </c>
      <c r="CG82" t="inlineStr">
        <is>
          <t>f0e86367-326b-4528-b3aa-4e358b9cb202</t>
        </is>
      </c>
      <c r="CH82" s="1" t="n">
        <v>45963.32620370371</v>
      </c>
      <c r="CK82" t="inlineStr">
        <is>
          <t>submitted_via_web</t>
        </is>
      </c>
      <c r="CM82" t="inlineStr">
        <is>
          <t>vteYUDpqfKnk39PHFZkvPS</t>
        </is>
      </c>
      <c r="CO82" t="inlineStr">
        <is>
          <t>uuid:f0e86367-326b-4528-b3aa-4e358b9cb202</t>
        </is>
      </c>
      <c r="CP82" t="n">
        <v>81</v>
      </c>
      <c r="CQ82" t="n">
        <v>7</v>
      </c>
      <c r="CR82" t="n">
        <v>1.244729701052259</v>
      </c>
    </row>
    <row r="83">
      <c r="A83" s="1" t="n">
        <v>45963.5553421412</v>
      </c>
      <c r="B83" s="1" t="n">
        <v>45963.55734947917</v>
      </c>
      <c r="D83" t="inlineStr">
        <is>
          <t>18</t>
        </is>
      </c>
      <c r="E83" t="inlineStr">
        <is>
          <t xml:space="preserve">Male </t>
        </is>
      </c>
      <c r="F83" t="inlineStr">
        <is>
          <t>Sinhalese</t>
        </is>
      </c>
      <c r="H83" t="inlineStr">
        <is>
          <t>Buddhist</t>
        </is>
      </c>
      <c r="L83" t="inlineStr">
        <is>
          <t xml:space="preserve">Up to O/L </t>
        </is>
      </c>
      <c r="M83" t="inlineStr">
        <is>
          <t>Western</t>
        </is>
      </c>
      <c r="N83" t="inlineStr">
        <is>
          <t>Single</t>
        </is>
      </c>
      <c r="P83" t="inlineStr">
        <is>
          <t xml:space="preserve"> Yes </t>
        </is>
      </c>
      <c r="Q83" t="inlineStr">
        <is>
          <t>Thalassemia trait</t>
        </is>
      </c>
      <c r="R83" s="1" t="n">
        <v>44100</v>
      </c>
      <c r="S83" t="inlineStr">
        <is>
          <t>Individual or family screening after a relative was diagnosed</t>
        </is>
      </c>
      <c r="U83" t="inlineStr">
        <is>
          <t>Yes</t>
        </is>
      </c>
      <c r="V83" t="inlineStr">
        <is>
          <t>Thalassemia major (severe form)   Thalassemia minor or trait (carrier form)</t>
        </is>
      </c>
      <c r="W83" t="n">
        <v>1</v>
      </c>
      <c r="X83" t="n">
        <v>1</v>
      </c>
      <c r="Y83" t="n">
        <v>0</v>
      </c>
      <c r="Z83" t="n">
        <v>0</v>
      </c>
      <c r="AA83" t="inlineStr">
        <is>
          <t xml:space="preserve">Thalassemia major (severe form)  </t>
        </is>
      </c>
      <c r="AB83" t="n">
        <v>1</v>
      </c>
      <c r="AC83" t="n">
        <v>0</v>
      </c>
      <c r="AD83" t="n">
        <v>0</v>
      </c>
      <c r="AE83" t="n">
        <v>0</v>
      </c>
      <c r="AF83" t="inlineStr">
        <is>
          <t>Thalassemia minor or trait (carrier form)</t>
        </is>
      </c>
      <c r="AG83" t="n">
        <v>0</v>
      </c>
      <c r="AH83" t="n">
        <v>1</v>
      </c>
      <c r="AI83" t="n">
        <v>0</v>
      </c>
      <c r="AJ83" t="n">
        <v>0</v>
      </c>
      <c r="AK83" t="inlineStr">
        <is>
          <t>Don’t know</t>
        </is>
      </c>
      <c r="AL83" t="inlineStr">
        <is>
          <t>Don’t know</t>
        </is>
      </c>
      <c r="AM83" t="inlineStr">
        <is>
          <t xml:space="preserve">Can be prevented </t>
        </is>
      </c>
      <c r="AN83" t="inlineStr">
        <is>
          <t xml:space="preserve">From generation to generation (hereditary)  </t>
        </is>
      </c>
      <c r="AO83" t="inlineStr">
        <is>
          <t>Healthy</t>
        </is>
      </c>
      <c r="AP83" t="inlineStr">
        <is>
          <t>Always affected by thalassemia</t>
        </is>
      </c>
      <c r="AQ83" t="inlineStr">
        <is>
          <t>No</t>
        </is>
      </c>
      <c r="AR83" t="inlineStr">
        <is>
          <t>Don’t know</t>
        </is>
      </c>
      <c r="BB83" t="inlineStr">
        <is>
          <t xml:space="preserve">Get family members tested </t>
        </is>
      </c>
      <c r="BC83" t="n">
        <v>0</v>
      </c>
      <c r="BD83" t="n">
        <v>1</v>
      </c>
      <c r="BE83" t="n">
        <v>0</v>
      </c>
      <c r="BF83" t="n">
        <v>0</v>
      </c>
      <c r="BG83" t="inlineStr">
        <is>
          <t>Only found out after screening</t>
        </is>
      </c>
      <c r="BH83" t="inlineStr">
        <is>
          <t xml:space="preserve">Not sure </t>
        </is>
      </c>
      <c r="BI83" t="inlineStr">
        <is>
          <t xml:space="preserve">No </t>
        </is>
      </c>
      <c r="BJ83" t="inlineStr">
        <is>
          <t xml:space="preserve">Very important </t>
        </is>
      </c>
      <c r="BP83" t="inlineStr">
        <is>
          <t xml:space="preserve">Agree </t>
        </is>
      </c>
      <c r="BQ83" t="inlineStr">
        <is>
          <t xml:space="preserve">Yes </t>
        </is>
      </c>
      <c r="BS83" t="inlineStr">
        <is>
          <t>All</t>
        </is>
      </c>
      <c r="BT83" t="inlineStr">
        <is>
          <t>Some</t>
        </is>
      </c>
      <c r="BU83" t="inlineStr">
        <is>
          <t>Don't know</t>
        </is>
      </c>
      <c r="CD83" t="inlineStr">
        <is>
          <t xml:space="preserve">Very easy </t>
        </is>
      </c>
      <c r="CE83" t="inlineStr">
        <is>
          <t xml:space="preserve">Important </t>
        </is>
      </c>
      <c r="CF83" t="n">
        <v>596282245</v>
      </c>
      <c r="CG83" t="inlineStr">
        <is>
          <t>ef5b11c3-6381-48ad-b08b-229a4b9319bc</t>
        </is>
      </c>
      <c r="CH83" s="1" t="n">
        <v>45963.32818287037</v>
      </c>
      <c r="CK83" t="inlineStr">
        <is>
          <t>submitted_via_web</t>
        </is>
      </c>
      <c r="CM83" t="inlineStr">
        <is>
          <t>vteYUDpqfKnk39PHFZkvPS</t>
        </is>
      </c>
      <c r="CO83" t="inlineStr">
        <is>
          <t>uuid:ef5b11c3-6381-48ad-b08b-229a4b9319bc</t>
        </is>
      </c>
      <c r="CP83" t="n">
        <v>82</v>
      </c>
      <c r="CQ83" t="n">
        <v>2</v>
      </c>
      <c r="CR83" t="n">
        <v>-0.7068355868689896</v>
      </c>
    </row>
    <row r="84">
      <c r="A84" s="1" t="n">
        <v>45963.58841651621</v>
      </c>
      <c r="B84" s="1" t="n">
        <v>45963.60266017361</v>
      </c>
      <c r="D84" t="inlineStr">
        <is>
          <t>38</t>
        </is>
      </c>
      <c r="E84" t="inlineStr">
        <is>
          <t xml:space="preserve">Male </t>
        </is>
      </c>
      <c r="F84" t="inlineStr">
        <is>
          <t>Sinhalese</t>
        </is>
      </c>
      <c r="H84" t="inlineStr">
        <is>
          <t>Buddhist</t>
        </is>
      </c>
      <c r="J84" t="inlineStr">
        <is>
          <t>Government sector</t>
        </is>
      </c>
      <c r="K84" t="inlineStr">
        <is>
          <t>51,000 – 100,000</t>
        </is>
      </c>
      <c r="L84" t="inlineStr">
        <is>
          <t xml:space="preserve">Up to O/L </t>
        </is>
      </c>
      <c r="M84" t="inlineStr">
        <is>
          <t xml:space="preserve">North Central </t>
        </is>
      </c>
      <c r="N84" t="inlineStr">
        <is>
          <t xml:space="preserve">Married </t>
        </is>
      </c>
      <c r="O84" t="inlineStr">
        <is>
          <t xml:space="preserve">Yes, more than one child </t>
        </is>
      </c>
      <c r="P84" t="inlineStr">
        <is>
          <t xml:space="preserve"> Yes </t>
        </is>
      </c>
      <c r="Q84" t="inlineStr">
        <is>
          <t>Family relative has thal major</t>
        </is>
      </c>
      <c r="S84" t="inlineStr">
        <is>
          <t>At workplace</t>
        </is>
      </c>
      <c r="U84" t="inlineStr">
        <is>
          <t>Yes</t>
        </is>
      </c>
      <c r="V84" t="inlineStr">
        <is>
          <t>Thalassemia major (severe form)   Thalassemia minor or trait (carrier form)</t>
        </is>
      </c>
      <c r="W84" t="n">
        <v>1</v>
      </c>
      <c r="X84" t="n">
        <v>1</v>
      </c>
      <c r="Y84" t="n">
        <v>0</v>
      </c>
      <c r="Z84" t="n">
        <v>0</v>
      </c>
      <c r="AA84" t="inlineStr">
        <is>
          <t xml:space="preserve">Thalassemia major (severe form)  </t>
        </is>
      </c>
      <c r="AB84" t="n">
        <v>1</v>
      </c>
      <c r="AC84" t="n">
        <v>0</v>
      </c>
      <c r="AD84" t="n">
        <v>0</v>
      </c>
      <c r="AE84" t="n">
        <v>0</v>
      </c>
      <c r="AF84" t="inlineStr">
        <is>
          <t>Thalassemia minor or trait (carrier form)</t>
        </is>
      </c>
      <c r="AG84" t="n">
        <v>0</v>
      </c>
      <c r="AH84" t="n">
        <v>1</v>
      </c>
      <c r="AI84" t="n">
        <v>0</v>
      </c>
      <c r="AJ84" t="n">
        <v>0</v>
      </c>
      <c r="AK84" t="inlineStr">
        <is>
          <t>Yes</t>
        </is>
      </c>
      <c r="AL84" t="inlineStr">
        <is>
          <t>Very difficult (e.g., bone marrow transplant)</t>
        </is>
      </c>
      <c r="AM84" t="inlineStr">
        <is>
          <t xml:space="preserve">Can be prevented </t>
        </is>
      </c>
      <c r="AN84" t="inlineStr">
        <is>
          <t xml:space="preserve">From generation to generation (hereditary)  </t>
        </is>
      </c>
      <c r="AO84" t="inlineStr">
        <is>
          <t>Healthy</t>
        </is>
      </c>
      <c r="AP84" t="inlineStr">
        <is>
          <t xml:space="preserve">Has a chance to be affected (e.g., 25%) </t>
        </is>
      </c>
      <c r="AQ84" t="inlineStr">
        <is>
          <t xml:space="preserve">Yes </t>
        </is>
      </c>
      <c r="AR84" t="inlineStr">
        <is>
          <t>Don’t know</t>
        </is>
      </c>
      <c r="AS84" t="inlineStr">
        <is>
          <t>Regular blood transfusions for life  Iron overload affecting heart and liver  Risk of infections from transfusions Bone deformities</t>
        </is>
      </c>
      <c r="AT84" t="n">
        <v>1</v>
      </c>
      <c r="AU84" t="n">
        <v>1</v>
      </c>
      <c r="AV84" t="n">
        <v>0</v>
      </c>
      <c r="AW84" t="n">
        <v>0</v>
      </c>
      <c r="AX84" t="n">
        <v>1</v>
      </c>
      <c r="AY84" t="n">
        <v>0</v>
      </c>
      <c r="AZ84" t="n">
        <v>0</v>
      </c>
      <c r="BA84" t="n">
        <v>1</v>
      </c>
      <c r="BB84" t="inlineStr">
        <is>
          <t xml:space="preserve"> Get the partner tested before marriage   Get family members tested </t>
        </is>
      </c>
      <c r="BC84" t="n">
        <v>1</v>
      </c>
      <c r="BD84" t="n">
        <v>1</v>
      </c>
      <c r="BE84" t="n">
        <v>0</v>
      </c>
      <c r="BF84" t="n">
        <v>0</v>
      </c>
      <c r="BG84" t="inlineStr">
        <is>
          <t xml:space="preserve">Family </t>
        </is>
      </c>
      <c r="BH84" t="inlineStr">
        <is>
          <t>Definitely not</t>
        </is>
      </c>
      <c r="BI84" t="inlineStr">
        <is>
          <t xml:space="preserve">No </t>
        </is>
      </c>
      <c r="BJ84" t="inlineStr">
        <is>
          <t xml:space="preserve">Very important </t>
        </is>
      </c>
      <c r="BK84" t="inlineStr">
        <is>
          <t xml:space="preserve"> Partner was screened after marriage </t>
        </is>
      </c>
      <c r="BP84" t="inlineStr">
        <is>
          <t xml:space="preserve">Agree </t>
        </is>
      </c>
      <c r="BQ84" t="inlineStr">
        <is>
          <t xml:space="preserve">Yes </t>
        </is>
      </c>
      <c r="BS84" t="inlineStr">
        <is>
          <t>None</t>
        </is>
      </c>
      <c r="BT84" t="inlineStr">
        <is>
          <t>None</t>
        </is>
      </c>
      <c r="BU84" t="inlineStr">
        <is>
          <t>None</t>
        </is>
      </c>
      <c r="BV84" t="inlineStr">
        <is>
          <t>Other</t>
        </is>
      </c>
      <c r="BW84" t="n">
        <v>0</v>
      </c>
      <c r="BX84" t="n">
        <v>0</v>
      </c>
      <c r="BY84" t="n">
        <v>0</v>
      </c>
      <c r="BZ84" t="n">
        <v>0</v>
      </c>
      <c r="CA84" t="n">
        <v>0</v>
      </c>
      <c r="CB84" t="n">
        <v>1</v>
      </c>
      <c r="CC84" t="inlineStr">
        <is>
          <t>Due busy schedules</t>
        </is>
      </c>
      <c r="CD84" t="inlineStr">
        <is>
          <t xml:space="preserve">Somewhat easy </t>
        </is>
      </c>
      <c r="CE84" t="inlineStr">
        <is>
          <t xml:space="preserve"> Very important</t>
        </is>
      </c>
      <c r="CF84" t="n">
        <v>596311108</v>
      </c>
      <c r="CG84" t="inlineStr">
        <is>
          <t>68b539a7-4403-4470-9dc0-bb78c42aa60f</t>
        </is>
      </c>
      <c r="CH84" s="1" t="n">
        <v>45963.37350694444</v>
      </c>
      <c r="CK84" t="inlineStr">
        <is>
          <t>submitted_via_web</t>
        </is>
      </c>
      <c r="CM84" t="inlineStr">
        <is>
          <t>vteYUDpqfKnk39PHFZkvPS</t>
        </is>
      </c>
      <c r="CO84" t="inlineStr">
        <is>
          <t>uuid:68b539a7-4403-4470-9dc0-bb78c42aa60f</t>
        </is>
      </c>
      <c r="CP84" t="n">
        <v>83</v>
      </c>
      <c r="CQ84" t="n">
        <v>6</v>
      </c>
      <c r="CR84" t="n">
        <v>0.8544166434680093</v>
      </c>
    </row>
    <row r="85">
      <c r="A85" s="1" t="n">
        <v>45963.60266188657</v>
      </c>
      <c r="B85" s="1" t="n">
        <v>45963.64560994213</v>
      </c>
      <c r="D85" t="inlineStr">
        <is>
          <t>24</t>
        </is>
      </c>
      <c r="E85" t="inlineStr">
        <is>
          <t xml:space="preserve">Male </t>
        </is>
      </c>
      <c r="F85" t="inlineStr">
        <is>
          <t>Sinhalese</t>
        </is>
      </c>
      <c r="H85" t="inlineStr">
        <is>
          <t>Buddhist</t>
        </is>
      </c>
      <c r="J85" t="inlineStr">
        <is>
          <t>Private sector</t>
        </is>
      </c>
      <c r="K85" t="inlineStr">
        <is>
          <t>51,000 – 100,000</t>
        </is>
      </c>
      <c r="L85" t="inlineStr">
        <is>
          <t xml:space="preserve">Graduate </t>
        </is>
      </c>
      <c r="M85" t="inlineStr">
        <is>
          <t>Western</t>
        </is>
      </c>
      <c r="N85" t="inlineStr">
        <is>
          <t>Single</t>
        </is>
      </c>
      <c r="P85" t="inlineStr">
        <is>
          <t>No</t>
        </is>
      </c>
      <c r="S85" t="inlineStr">
        <is>
          <t xml:space="preserve">During school/university  </t>
        </is>
      </c>
      <c r="U85" t="inlineStr">
        <is>
          <t>Yes</t>
        </is>
      </c>
      <c r="V85" t="inlineStr">
        <is>
          <t>Thalassemia major (severe form)   Thalassemia minor or trait (carrier form)</t>
        </is>
      </c>
      <c r="W85" t="n">
        <v>1</v>
      </c>
      <c r="X85" t="n">
        <v>1</v>
      </c>
      <c r="Y85" t="n">
        <v>0</v>
      </c>
      <c r="Z85" t="n">
        <v>0</v>
      </c>
      <c r="AA85" t="inlineStr">
        <is>
          <t>Thalassemia minor or trait (carrier form)</t>
        </is>
      </c>
      <c r="AB85" t="n">
        <v>0</v>
      </c>
      <c r="AC85" t="n">
        <v>1</v>
      </c>
      <c r="AD85" t="n">
        <v>0</v>
      </c>
      <c r="AE85" t="n">
        <v>0</v>
      </c>
      <c r="AF85" t="inlineStr">
        <is>
          <t xml:space="preserve">Thalassemia major (severe form)  </t>
        </is>
      </c>
      <c r="AG85" t="n">
        <v>1</v>
      </c>
      <c r="AH85" t="n">
        <v>0</v>
      </c>
      <c r="AI85" t="n">
        <v>0</v>
      </c>
      <c r="AJ85" t="n">
        <v>0</v>
      </c>
      <c r="AK85" t="inlineStr">
        <is>
          <t>Don’t know</t>
        </is>
      </c>
      <c r="AL85" t="inlineStr">
        <is>
          <t>Don’t know</t>
        </is>
      </c>
      <c r="AM85" t="inlineStr">
        <is>
          <t>Cannot be prevented</t>
        </is>
      </c>
      <c r="AN85" t="inlineStr">
        <is>
          <t xml:space="preserve">From generation to generation (hereditary)  </t>
        </is>
      </c>
      <c r="AO85" t="inlineStr">
        <is>
          <t>Healthy</t>
        </is>
      </c>
      <c r="AP85" t="inlineStr">
        <is>
          <t xml:space="preserve">Has a chance to be affected (e.g., 25%) </t>
        </is>
      </c>
      <c r="AQ85" t="inlineStr">
        <is>
          <t>No</t>
        </is>
      </c>
      <c r="AR85" t="inlineStr">
        <is>
          <t>Don’t know</t>
        </is>
      </c>
      <c r="AS85" t="inlineStr">
        <is>
          <t xml:space="preserve">Regular blood transfusions for life  Iron overload affecting heart and liver </t>
        </is>
      </c>
      <c r="AT85" t="n">
        <v>1</v>
      </c>
      <c r="AU85" t="n">
        <v>1</v>
      </c>
      <c r="AV85" t="n">
        <v>0</v>
      </c>
      <c r="AW85" t="n">
        <v>0</v>
      </c>
      <c r="AX85" t="n">
        <v>0</v>
      </c>
      <c r="AY85" t="n">
        <v>0</v>
      </c>
      <c r="AZ85" t="n">
        <v>0</v>
      </c>
      <c r="BA85" t="n">
        <v>0</v>
      </c>
      <c r="BB85" t="inlineStr">
        <is>
          <t xml:space="preserve"> Get the partner tested before marriage   Get family members tested </t>
        </is>
      </c>
      <c r="BC85" t="n">
        <v>1</v>
      </c>
      <c r="BD85" t="n">
        <v>1</v>
      </c>
      <c r="BE85" t="n">
        <v>0</v>
      </c>
      <c r="BF85" t="n">
        <v>0</v>
      </c>
      <c r="BG85" t="inlineStr">
        <is>
          <t>Only found out after screening</t>
        </is>
      </c>
      <c r="BH85" t="inlineStr">
        <is>
          <t>Definitely not</t>
        </is>
      </c>
      <c r="BI85" t="inlineStr">
        <is>
          <t xml:space="preserve">No </t>
        </is>
      </c>
      <c r="BJ85" t="inlineStr">
        <is>
          <t xml:space="preserve">Very important </t>
        </is>
      </c>
      <c r="BK85" t="inlineStr">
        <is>
          <t>Partner was screened before marriage</t>
        </is>
      </c>
      <c r="BP85" t="inlineStr">
        <is>
          <t xml:space="preserve">Agree </t>
        </is>
      </c>
      <c r="BQ85" t="inlineStr">
        <is>
          <t xml:space="preserve">Yes </t>
        </is>
      </c>
      <c r="BS85" t="inlineStr">
        <is>
          <t>All</t>
        </is>
      </c>
      <c r="BT85" t="inlineStr">
        <is>
          <t>None</t>
        </is>
      </c>
      <c r="BU85" t="inlineStr">
        <is>
          <t>None</t>
        </is>
      </c>
      <c r="BV85" t="inlineStr">
        <is>
          <t>Perception that screening was unnecessary</t>
        </is>
      </c>
      <c r="BW85" t="n">
        <v>0</v>
      </c>
      <c r="BX85" t="n">
        <v>0</v>
      </c>
      <c r="BY85" t="n">
        <v>0</v>
      </c>
      <c r="BZ85" t="n">
        <v>1</v>
      </c>
      <c r="CA85" t="n">
        <v>0</v>
      </c>
      <c r="CB85" t="n">
        <v>0</v>
      </c>
      <c r="CD85" t="inlineStr">
        <is>
          <t xml:space="preserve">Somewhat easy </t>
        </is>
      </c>
      <c r="CE85" t="inlineStr">
        <is>
          <t xml:space="preserve"> Very important</t>
        </is>
      </c>
      <c r="CF85" t="n">
        <v>596342752</v>
      </c>
      <c r="CG85" t="inlineStr">
        <is>
          <t>c24fcd4e-efab-420e-8fa3-8dabcc99171a</t>
        </is>
      </c>
      <c r="CH85" s="1" t="n">
        <v>45963.41645833333</v>
      </c>
      <c r="CK85" t="inlineStr">
        <is>
          <t>submitted_via_web</t>
        </is>
      </c>
      <c r="CM85" t="inlineStr">
        <is>
          <t>vteYUDpqfKnk39PHFZkvPS</t>
        </is>
      </c>
      <c r="CO85" t="inlineStr">
        <is>
          <t>uuid:c24fcd4e-efab-420e-8fa3-8dabcc99171a</t>
        </is>
      </c>
      <c r="CP85" t="n">
        <v>84</v>
      </c>
      <c r="CQ85" t="n">
        <v>4</v>
      </c>
      <c r="CR85" t="n">
        <v>0.07379052829950983</v>
      </c>
    </row>
    <row r="86">
      <c r="A86" s="1" t="n">
        <v>45963.65785769676</v>
      </c>
      <c r="B86" s="1" t="n">
        <v>45963.66275282407</v>
      </c>
      <c r="D86" t="inlineStr">
        <is>
          <t>23</t>
        </is>
      </c>
      <c r="E86" t="inlineStr">
        <is>
          <t>Female</t>
        </is>
      </c>
      <c r="F86" t="inlineStr">
        <is>
          <t>Sinhalese</t>
        </is>
      </c>
      <c r="H86" t="inlineStr">
        <is>
          <t>Buddhist</t>
        </is>
      </c>
      <c r="J86" t="inlineStr">
        <is>
          <t>Private sector</t>
        </is>
      </c>
      <c r="K86" t="inlineStr">
        <is>
          <t>51,000 – 100,000</t>
        </is>
      </c>
      <c r="L86" t="inlineStr">
        <is>
          <t xml:space="preserve">Up to A/L </t>
        </is>
      </c>
      <c r="M86" t="inlineStr">
        <is>
          <t>Western</t>
        </is>
      </c>
      <c r="N86" t="inlineStr">
        <is>
          <t>Single</t>
        </is>
      </c>
      <c r="P86" t="inlineStr">
        <is>
          <t>No</t>
        </is>
      </c>
      <c r="S86" t="inlineStr">
        <is>
          <t xml:space="preserve">During school/university  </t>
        </is>
      </c>
      <c r="U86" t="inlineStr">
        <is>
          <t>Yes</t>
        </is>
      </c>
      <c r="V86" t="inlineStr">
        <is>
          <t>Thalassemia major (severe form)   Thalassemia minor or trait (carrier form)</t>
        </is>
      </c>
      <c r="W86" t="n">
        <v>1</v>
      </c>
      <c r="X86" t="n">
        <v>1</v>
      </c>
      <c r="Y86" t="n">
        <v>0</v>
      </c>
      <c r="Z86" t="n">
        <v>0</v>
      </c>
      <c r="AA86" t="inlineStr">
        <is>
          <t xml:space="preserve">Thalassemia major (severe form)  </t>
        </is>
      </c>
      <c r="AB86" t="n">
        <v>1</v>
      </c>
      <c r="AC86" t="n">
        <v>0</v>
      </c>
      <c r="AD86" t="n">
        <v>0</v>
      </c>
      <c r="AE86" t="n">
        <v>0</v>
      </c>
      <c r="AF86" t="inlineStr">
        <is>
          <t xml:space="preserve">Thalassemia major (severe form)  </t>
        </is>
      </c>
      <c r="AG86" t="n">
        <v>1</v>
      </c>
      <c r="AH86" t="n">
        <v>0</v>
      </c>
      <c r="AI86" t="n">
        <v>0</v>
      </c>
      <c r="AJ86" t="n">
        <v>0</v>
      </c>
      <c r="AK86" t="inlineStr">
        <is>
          <t>Yes</t>
        </is>
      </c>
      <c r="AL86" t="inlineStr">
        <is>
          <t xml:space="preserve">Cannot be cured   </t>
        </is>
      </c>
      <c r="AM86" t="inlineStr">
        <is>
          <t xml:space="preserve">Can be prevented </t>
        </is>
      </c>
      <c r="AN86" t="inlineStr">
        <is>
          <t xml:space="preserve">From generation to generation (hereditary)  </t>
        </is>
      </c>
      <c r="AO86" t="inlineStr">
        <is>
          <t>Healthy</t>
        </is>
      </c>
      <c r="AP86" t="inlineStr">
        <is>
          <t xml:space="preserve">Has a chance to be affected (e.g., 25%) </t>
        </is>
      </c>
      <c r="AQ86" t="inlineStr">
        <is>
          <t xml:space="preserve">Yes </t>
        </is>
      </c>
      <c r="AR86" t="inlineStr">
        <is>
          <t>Don’t know</t>
        </is>
      </c>
      <c r="AS86" t="inlineStr">
        <is>
          <t xml:space="preserve">Regular blood transfusions for life </t>
        </is>
      </c>
      <c r="AT86" t="n">
        <v>1</v>
      </c>
      <c r="AU86" t="n">
        <v>0</v>
      </c>
      <c r="AV86" t="n">
        <v>0</v>
      </c>
      <c r="AW86" t="n">
        <v>0</v>
      </c>
      <c r="AX86" t="n">
        <v>0</v>
      </c>
      <c r="AY86" t="n">
        <v>0</v>
      </c>
      <c r="AZ86" t="n">
        <v>0</v>
      </c>
      <c r="BA86" t="n">
        <v>0</v>
      </c>
      <c r="BB86" t="inlineStr">
        <is>
          <t xml:space="preserve"> Get the partner tested before marriage   Get family members tested </t>
        </is>
      </c>
      <c r="BC86" t="n">
        <v>1</v>
      </c>
      <c r="BD86" t="n">
        <v>1</v>
      </c>
      <c r="BE86" t="n">
        <v>0</v>
      </c>
      <c r="BF86" t="n">
        <v>0</v>
      </c>
      <c r="BG86" t="inlineStr">
        <is>
          <t>Only found out after screening</t>
        </is>
      </c>
      <c r="BH86" t="inlineStr">
        <is>
          <t>Definitely not</t>
        </is>
      </c>
      <c r="BI86" t="inlineStr">
        <is>
          <t xml:space="preserve">No </t>
        </is>
      </c>
      <c r="BJ86" t="inlineStr">
        <is>
          <t xml:space="preserve">Very important </t>
        </is>
      </c>
      <c r="BK86" t="inlineStr">
        <is>
          <t>Other</t>
        </is>
      </c>
      <c r="BL86" t="inlineStr">
        <is>
          <t>Still not married. Will be screen before marriage</t>
        </is>
      </c>
      <c r="BM86" t="inlineStr">
        <is>
          <t>Other</t>
        </is>
      </c>
      <c r="BN86" t="inlineStr">
        <is>
          <t>Still not married. Will be screen before marriage</t>
        </is>
      </c>
      <c r="BP86" t="inlineStr">
        <is>
          <t xml:space="preserve">Agree </t>
        </is>
      </c>
      <c r="BQ86" t="inlineStr">
        <is>
          <t xml:space="preserve">Yes </t>
        </is>
      </c>
      <c r="BS86" t="inlineStr">
        <is>
          <t>Some</t>
        </is>
      </c>
      <c r="BT86" t="inlineStr">
        <is>
          <t>None</t>
        </is>
      </c>
      <c r="BU86" t="inlineStr">
        <is>
          <t>None</t>
        </is>
      </c>
      <c r="BV86" t="inlineStr">
        <is>
          <t xml:space="preserve">Lack of knowledge </t>
        </is>
      </c>
      <c r="BW86" t="n">
        <v>1</v>
      </c>
      <c r="BX86" t="n">
        <v>0</v>
      </c>
      <c r="BY86" t="n">
        <v>0</v>
      </c>
      <c r="BZ86" t="n">
        <v>0</v>
      </c>
      <c r="CA86" t="n">
        <v>0</v>
      </c>
      <c r="CB86" t="n">
        <v>0</v>
      </c>
      <c r="CD86" t="inlineStr">
        <is>
          <t xml:space="preserve">Somewhat easy </t>
        </is>
      </c>
      <c r="CE86" t="inlineStr">
        <is>
          <t xml:space="preserve"> Very important</t>
        </is>
      </c>
      <c r="CF86" t="n">
        <v>596355727</v>
      </c>
      <c r="CG86" t="inlineStr">
        <is>
          <t>4cfc190c-46e3-4a36-bbdb-82e44988c1e9</t>
        </is>
      </c>
      <c r="CH86" s="1" t="n">
        <v>45963.43361111111</v>
      </c>
      <c r="CK86" t="inlineStr">
        <is>
          <t>submitted_via_web</t>
        </is>
      </c>
      <c r="CM86" t="inlineStr">
        <is>
          <t>vteYUDpqfKnk39PHFZkvPS</t>
        </is>
      </c>
      <c r="CO86" t="inlineStr">
        <is>
          <t>uuid:4cfc190c-46e3-4a36-bbdb-82e44988c1e9</t>
        </is>
      </c>
      <c r="CP86" t="n">
        <v>85</v>
      </c>
      <c r="CQ86" t="n">
        <v>3</v>
      </c>
      <c r="CR86" t="n">
        <v>-0.3165225292847399</v>
      </c>
    </row>
    <row r="87">
      <c r="A87" s="1" t="n">
        <v>45963.66275417824</v>
      </c>
      <c r="B87" s="1" t="n">
        <v>45963.69351489584</v>
      </c>
      <c r="D87" t="inlineStr">
        <is>
          <t>27</t>
        </is>
      </c>
      <c r="E87" t="inlineStr">
        <is>
          <t>Female</t>
        </is>
      </c>
      <c r="F87" t="inlineStr">
        <is>
          <t>Sinhalese</t>
        </is>
      </c>
      <c r="H87" t="inlineStr">
        <is>
          <t>Buddhist</t>
        </is>
      </c>
      <c r="J87" t="inlineStr">
        <is>
          <t>Not employed</t>
        </is>
      </c>
      <c r="L87" t="inlineStr">
        <is>
          <t xml:space="preserve">Up to O/L </t>
        </is>
      </c>
      <c r="M87" t="inlineStr">
        <is>
          <t>Eastern</t>
        </is>
      </c>
      <c r="N87" t="inlineStr">
        <is>
          <t xml:space="preserve">Married </t>
        </is>
      </c>
      <c r="O87" t="inlineStr">
        <is>
          <t xml:space="preserve">Yes, only one child </t>
        </is>
      </c>
      <c r="P87" t="inlineStr">
        <is>
          <t>No</t>
        </is>
      </c>
      <c r="S87" t="inlineStr">
        <is>
          <t>Referral by a doctor</t>
        </is>
      </c>
      <c r="U87" t="inlineStr">
        <is>
          <t>Don’t know</t>
        </is>
      </c>
      <c r="V87" t="inlineStr">
        <is>
          <t>I don’t know</t>
        </is>
      </c>
      <c r="W87" t="n">
        <v>0</v>
      </c>
      <c r="X87" t="n">
        <v>0</v>
      </c>
      <c r="Y87" t="n">
        <v>0</v>
      </c>
      <c r="Z87" t="n">
        <v>1</v>
      </c>
      <c r="AA87" t="inlineStr">
        <is>
          <t>I don’t know</t>
        </is>
      </c>
      <c r="AB87" t="n">
        <v>0</v>
      </c>
      <c r="AC87" t="n">
        <v>0</v>
      </c>
      <c r="AD87" t="n">
        <v>0</v>
      </c>
      <c r="AE87" t="n">
        <v>1</v>
      </c>
      <c r="AF87" t="inlineStr">
        <is>
          <t>I don’t know</t>
        </is>
      </c>
      <c r="AG87" t="n">
        <v>0</v>
      </c>
      <c r="AH87" t="n">
        <v>0</v>
      </c>
      <c r="AI87" t="n">
        <v>0</v>
      </c>
      <c r="AJ87" t="n">
        <v>1</v>
      </c>
      <c r="AK87" t="inlineStr">
        <is>
          <t>Don’t know</t>
        </is>
      </c>
      <c r="AL87" t="inlineStr">
        <is>
          <t>Don’t know</t>
        </is>
      </c>
      <c r="AM87" t="inlineStr">
        <is>
          <t xml:space="preserve">Can be prevented </t>
        </is>
      </c>
      <c r="AN87" t="inlineStr">
        <is>
          <t>Don’t know</t>
        </is>
      </c>
      <c r="AO87" t="inlineStr">
        <is>
          <t>Healthy</t>
        </is>
      </c>
      <c r="AP87" t="inlineStr">
        <is>
          <t xml:space="preserve">Has a chance to be affected (e.g., 25%) </t>
        </is>
      </c>
      <c r="AQ87" t="inlineStr">
        <is>
          <t>No</t>
        </is>
      </c>
      <c r="AR87" t="inlineStr">
        <is>
          <t>Don’t know</t>
        </is>
      </c>
      <c r="BB87" t="inlineStr">
        <is>
          <t xml:space="preserve"> Get the partner tested before marriage  </t>
        </is>
      </c>
      <c r="BC87" t="n">
        <v>1</v>
      </c>
      <c r="BD87" t="n">
        <v>0</v>
      </c>
      <c r="BE87" t="n">
        <v>0</v>
      </c>
      <c r="BF87" t="n">
        <v>0</v>
      </c>
      <c r="BG87" t="inlineStr">
        <is>
          <t>Only found out after screening</t>
        </is>
      </c>
      <c r="BH87" t="inlineStr">
        <is>
          <t>Definitely not</t>
        </is>
      </c>
      <c r="BI87" t="inlineStr">
        <is>
          <t xml:space="preserve">No </t>
        </is>
      </c>
      <c r="BJ87" t="inlineStr">
        <is>
          <t xml:space="preserve">Very important </t>
        </is>
      </c>
      <c r="BK87" t="inlineStr">
        <is>
          <t xml:space="preserve">Did not screen partner </t>
        </is>
      </c>
      <c r="BM87" t="inlineStr">
        <is>
          <t xml:space="preserve"> Lack of understanding about its importance </t>
        </is>
      </c>
      <c r="BP87" t="inlineStr">
        <is>
          <t xml:space="preserve">Agree </t>
        </is>
      </c>
      <c r="BQ87" t="inlineStr">
        <is>
          <t xml:space="preserve">Yes </t>
        </is>
      </c>
      <c r="BS87" t="inlineStr">
        <is>
          <t>Some</t>
        </is>
      </c>
      <c r="BT87" t="inlineStr">
        <is>
          <t>None</t>
        </is>
      </c>
      <c r="BU87" t="inlineStr">
        <is>
          <t>None</t>
        </is>
      </c>
      <c r="BV87" t="inlineStr">
        <is>
          <t xml:space="preserve">Lack of knowledge </t>
        </is>
      </c>
      <c r="BW87" t="n">
        <v>1</v>
      </c>
      <c r="BX87" t="n">
        <v>0</v>
      </c>
      <c r="BY87" t="n">
        <v>0</v>
      </c>
      <c r="BZ87" t="n">
        <v>0</v>
      </c>
      <c r="CA87" t="n">
        <v>0</v>
      </c>
      <c r="CB87" t="n">
        <v>0</v>
      </c>
      <c r="CD87" t="inlineStr">
        <is>
          <t xml:space="preserve">Somewhat easy </t>
        </is>
      </c>
      <c r="CE87" t="inlineStr">
        <is>
          <t xml:space="preserve">Important </t>
        </is>
      </c>
      <c r="CF87" t="n">
        <v>596377349</v>
      </c>
      <c r="CG87" t="inlineStr">
        <is>
          <t>e81385a6-40c2-4c61-af60-cdc365373ae7</t>
        </is>
      </c>
      <c r="CH87" s="1" t="n">
        <v>45963.46436342593</v>
      </c>
      <c r="CK87" t="inlineStr">
        <is>
          <t>submitted_via_web</t>
        </is>
      </c>
      <c r="CM87" t="inlineStr">
        <is>
          <t>vteYUDpqfKnk39PHFZkvPS</t>
        </is>
      </c>
      <c r="CO87" t="inlineStr">
        <is>
          <t>uuid:e81385a6-40c2-4c61-af60-cdc365373ae7</t>
        </is>
      </c>
      <c r="CP87" t="n">
        <v>86</v>
      </c>
      <c r="CQ87" t="n">
        <v>0</v>
      </c>
      <c r="CR87" t="n">
        <v>-1.487461702037489</v>
      </c>
    </row>
    <row r="88">
      <c r="A88" s="1" t="n">
        <v>45963.69351684028</v>
      </c>
      <c r="B88" s="1" t="n">
        <v>45963.70514326389</v>
      </c>
      <c r="D88" t="inlineStr">
        <is>
          <t>37</t>
        </is>
      </c>
      <c r="E88" t="inlineStr">
        <is>
          <t xml:space="preserve">Male </t>
        </is>
      </c>
      <c r="F88" t="inlineStr">
        <is>
          <t>Sinhalese</t>
        </is>
      </c>
      <c r="H88" t="inlineStr">
        <is>
          <t>Buddhist</t>
        </is>
      </c>
      <c r="J88" t="inlineStr">
        <is>
          <t>Not employed</t>
        </is>
      </c>
      <c r="L88" t="inlineStr">
        <is>
          <t xml:space="preserve">Up to O/L </t>
        </is>
      </c>
      <c r="M88" t="inlineStr">
        <is>
          <t>Eastern</t>
        </is>
      </c>
      <c r="N88" t="inlineStr">
        <is>
          <t xml:space="preserve">Married </t>
        </is>
      </c>
      <c r="O88" t="inlineStr">
        <is>
          <t xml:space="preserve">Yes, more than one child </t>
        </is>
      </c>
      <c r="P88" t="inlineStr">
        <is>
          <t xml:space="preserve"> Yes </t>
        </is>
      </c>
      <c r="Q88" t="inlineStr">
        <is>
          <t>Thalassemia</t>
        </is>
      </c>
      <c r="S88" t="inlineStr">
        <is>
          <t>During community screening</t>
        </is>
      </c>
      <c r="U88" t="inlineStr">
        <is>
          <t>Yes</t>
        </is>
      </c>
      <c r="V88" t="inlineStr">
        <is>
          <t>Thalassemia minor or trait (carrier form)</t>
        </is>
      </c>
      <c r="W88" t="n">
        <v>0</v>
      </c>
      <c r="X88" t="n">
        <v>1</v>
      </c>
      <c r="Y88" t="n">
        <v>0</v>
      </c>
      <c r="Z88" t="n">
        <v>0</v>
      </c>
      <c r="AA88" t="inlineStr">
        <is>
          <t>I don’t know</t>
        </is>
      </c>
      <c r="AB88" t="n">
        <v>0</v>
      </c>
      <c r="AC88" t="n">
        <v>0</v>
      </c>
      <c r="AD88" t="n">
        <v>0</v>
      </c>
      <c r="AE88" t="n">
        <v>1</v>
      </c>
      <c r="AF88" t="inlineStr">
        <is>
          <t>Thalassemia minor or trait (carrier form)</t>
        </is>
      </c>
      <c r="AG88" t="n">
        <v>0</v>
      </c>
      <c r="AH88" t="n">
        <v>1</v>
      </c>
      <c r="AI88" t="n">
        <v>0</v>
      </c>
      <c r="AJ88" t="n">
        <v>0</v>
      </c>
      <c r="AK88" t="inlineStr">
        <is>
          <t>Don’t know</t>
        </is>
      </c>
      <c r="AL88" t="inlineStr">
        <is>
          <t>Don’t know</t>
        </is>
      </c>
      <c r="AM88" t="inlineStr">
        <is>
          <t xml:space="preserve">Can be prevented </t>
        </is>
      </c>
      <c r="AN88" t="inlineStr">
        <is>
          <t xml:space="preserve">From generation to generation (hereditary)  </t>
        </is>
      </c>
      <c r="AO88" t="inlineStr">
        <is>
          <t>Healthy</t>
        </is>
      </c>
      <c r="AP88" t="inlineStr">
        <is>
          <t xml:space="preserve">Has a chance to be affected (e.g., 25%) </t>
        </is>
      </c>
      <c r="AQ88" t="inlineStr">
        <is>
          <t>No</t>
        </is>
      </c>
      <c r="AR88" t="inlineStr">
        <is>
          <t>Don’t know</t>
        </is>
      </c>
      <c r="BB88" t="inlineStr">
        <is>
          <t xml:space="preserve"> Get the partner tested before marriage   Get family members tested </t>
        </is>
      </c>
      <c r="BC88" t="n">
        <v>1</v>
      </c>
      <c r="BD88" t="n">
        <v>1</v>
      </c>
      <c r="BE88" t="n">
        <v>0</v>
      </c>
      <c r="BF88" t="n">
        <v>0</v>
      </c>
      <c r="BG88" t="inlineStr">
        <is>
          <t>Only found out after screening</t>
        </is>
      </c>
      <c r="BH88" t="inlineStr">
        <is>
          <t>Definitely not</t>
        </is>
      </c>
      <c r="BI88" t="inlineStr">
        <is>
          <t xml:space="preserve">No </t>
        </is>
      </c>
      <c r="BJ88" t="inlineStr">
        <is>
          <t xml:space="preserve">Very important </t>
        </is>
      </c>
      <c r="BK88" t="inlineStr">
        <is>
          <t xml:space="preserve"> Partner was screened after marriage </t>
        </is>
      </c>
      <c r="BP88" t="inlineStr">
        <is>
          <t xml:space="preserve">Agree </t>
        </is>
      </c>
      <c r="BQ88" t="inlineStr">
        <is>
          <t xml:space="preserve">Yes </t>
        </is>
      </c>
      <c r="BS88" t="inlineStr">
        <is>
          <t>Some</t>
        </is>
      </c>
      <c r="BT88" t="inlineStr">
        <is>
          <t>None</t>
        </is>
      </c>
      <c r="BU88" t="inlineStr">
        <is>
          <t>None</t>
        </is>
      </c>
      <c r="BV88" t="inlineStr">
        <is>
          <t xml:space="preserve">Lack of knowledge </t>
        </is>
      </c>
      <c r="BW88" t="n">
        <v>1</v>
      </c>
      <c r="BX88" t="n">
        <v>0</v>
      </c>
      <c r="BY88" t="n">
        <v>0</v>
      </c>
      <c r="BZ88" t="n">
        <v>0</v>
      </c>
      <c r="CA88" t="n">
        <v>0</v>
      </c>
      <c r="CB88" t="n">
        <v>0</v>
      </c>
      <c r="CD88" t="inlineStr">
        <is>
          <t xml:space="preserve">Somewhat easy </t>
        </is>
      </c>
      <c r="CE88" t="inlineStr">
        <is>
          <t xml:space="preserve"> Very important</t>
        </is>
      </c>
      <c r="CF88" t="n">
        <v>596384511</v>
      </c>
      <c r="CG88" t="inlineStr">
        <is>
          <t>648a1c77-4c4a-4157-b7ec-3724e6778abb</t>
        </is>
      </c>
      <c r="CH88" s="1" t="n">
        <v>45963.47611111111</v>
      </c>
      <c r="CK88" t="inlineStr">
        <is>
          <t>submitted_via_web</t>
        </is>
      </c>
      <c r="CM88" t="inlineStr">
        <is>
          <t>vteYUDpqfKnk39PHFZkvPS</t>
        </is>
      </c>
      <c r="CO88" t="inlineStr">
        <is>
          <t>uuid:648a1c77-4c4a-4157-b7ec-3724e6778abb</t>
        </is>
      </c>
      <c r="CP88" t="n">
        <v>87</v>
      </c>
      <c r="CQ88" t="n">
        <v>1</v>
      </c>
      <c r="CR88" t="n">
        <v>-1.097148644453239</v>
      </c>
    </row>
    <row r="89">
      <c r="A89" s="1" t="n">
        <v>45963.55734967592</v>
      </c>
      <c r="B89" s="1" t="n">
        <v>45963.70882019676</v>
      </c>
      <c r="D89" t="inlineStr">
        <is>
          <t>30</t>
        </is>
      </c>
      <c r="E89" t="inlineStr">
        <is>
          <t>Female</t>
        </is>
      </c>
      <c r="F89" t="inlineStr">
        <is>
          <t>Sinhalese</t>
        </is>
      </c>
      <c r="H89" t="inlineStr">
        <is>
          <t>Buddhist</t>
        </is>
      </c>
      <c r="J89" t="inlineStr">
        <is>
          <t>Private sector</t>
        </is>
      </c>
      <c r="K89" t="inlineStr">
        <is>
          <t>51,000 – 100,000</t>
        </is>
      </c>
      <c r="L89" t="inlineStr">
        <is>
          <t xml:space="preserve">Up to A/L </t>
        </is>
      </c>
      <c r="M89" t="inlineStr">
        <is>
          <t>Western</t>
        </is>
      </c>
      <c r="N89" t="inlineStr">
        <is>
          <t xml:space="preserve">Married </t>
        </is>
      </c>
      <c r="O89" t="inlineStr">
        <is>
          <t>No children</t>
        </is>
      </c>
      <c r="P89" t="inlineStr">
        <is>
          <t>No</t>
        </is>
      </c>
      <c r="R89" s="1" t="n">
        <v>44100</v>
      </c>
      <c r="S89" t="inlineStr">
        <is>
          <t>Referral by a doctor</t>
        </is>
      </c>
      <c r="U89" t="inlineStr">
        <is>
          <t>Yes</t>
        </is>
      </c>
      <c r="V89" t="inlineStr">
        <is>
          <t>Thalassemia major (severe form)   Thalassemia minor or trait (carrier form)</t>
        </is>
      </c>
      <c r="W89" t="n">
        <v>1</v>
      </c>
      <c r="X89" t="n">
        <v>1</v>
      </c>
      <c r="Y89" t="n">
        <v>0</v>
      </c>
      <c r="Z89" t="n">
        <v>0</v>
      </c>
      <c r="AA89" t="inlineStr">
        <is>
          <t xml:space="preserve">Thalassemia major (severe form)  </t>
        </is>
      </c>
      <c r="AB89" t="n">
        <v>1</v>
      </c>
      <c r="AC89" t="n">
        <v>0</v>
      </c>
      <c r="AD89" t="n">
        <v>0</v>
      </c>
      <c r="AE89" t="n">
        <v>0</v>
      </c>
      <c r="AF89" t="inlineStr">
        <is>
          <t xml:space="preserve">Thalassemia major (severe form)  </t>
        </is>
      </c>
      <c r="AG89" t="n">
        <v>1</v>
      </c>
      <c r="AH89" t="n">
        <v>0</v>
      </c>
      <c r="AI89" t="n">
        <v>0</v>
      </c>
      <c r="AJ89" t="n">
        <v>0</v>
      </c>
      <c r="AK89" t="inlineStr">
        <is>
          <t>Yes</t>
        </is>
      </c>
      <c r="AL89" t="inlineStr">
        <is>
          <t xml:space="preserve">Cannot be cured   </t>
        </is>
      </c>
      <c r="AM89" t="inlineStr">
        <is>
          <t xml:space="preserve">Can be prevented </t>
        </is>
      </c>
      <c r="AN89" t="inlineStr">
        <is>
          <t xml:space="preserve">From generation to generation (hereditary)  </t>
        </is>
      </c>
      <c r="AO89" t="inlineStr">
        <is>
          <t>Healthy</t>
        </is>
      </c>
      <c r="AP89" t="inlineStr">
        <is>
          <t>Always affected by thalassemia</t>
        </is>
      </c>
      <c r="AQ89" t="inlineStr">
        <is>
          <t>No</t>
        </is>
      </c>
      <c r="AR89" t="inlineStr">
        <is>
          <t>Don’t know</t>
        </is>
      </c>
      <c r="AS89" t="inlineStr">
        <is>
          <t>Regular blood transfusions for life  Frequent nosebleeds Fatigue</t>
        </is>
      </c>
      <c r="AT89" t="n">
        <v>1</v>
      </c>
      <c r="AU89" t="n">
        <v>0</v>
      </c>
      <c r="AV89" t="n">
        <v>0</v>
      </c>
      <c r="AW89" t="n">
        <v>0</v>
      </c>
      <c r="AX89" t="n">
        <v>0</v>
      </c>
      <c r="AY89" t="n">
        <v>1</v>
      </c>
      <c r="AZ89" t="n">
        <v>1</v>
      </c>
      <c r="BA89" t="n">
        <v>0</v>
      </c>
      <c r="BB89" t="inlineStr">
        <is>
          <t xml:space="preserve"> Get the partner tested before marriage   Get family members tested </t>
        </is>
      </c>
      <c r="BC89" t="n">
        <v>1</v>
      </c>
      <c r="BD89" t="n">
        <v>1</v>
      </c>
      <c r="BE89" t="n">
        <v>0</v>
      </c>
      <c r="BF89" t="n">
        <v>0</v>
      </c>
      <c r="BG89" t="inlineStr">
        <is>
          <t xml:space="preserve">Family </t>
        </is>
      </c>
      <c r="BH89" t="inlineStr">
        <is>
          <t>Definitely not</t>
        </is>
      </c>
      <c r="BI89" t="inlineStr">
        <is>
          <t xml:space="preserve">No </t>
        </is>
      </c>
      <c r="BJ89" t="inlineStr">
        <is>
          <t xml:space="preserve">Important </t>
        </is>
      </c>
      <c r="BK89" t="inlineStr">
        <is>
          <t>Partner was screened before marriage</t>
        </is>
      </c>
      <c r="BP89" t="inlineStr">
        <is>
          <t xml:space="preserve">Agree </t>
        </is>
      </c>
      <c r="BQ89" t="inlineStr">
        <is>
          <t xml:space="preserve">Yes </t>
        </is>
      </c>
      <c r="BS89" t="inlineStr">
        <is>
          <t>All</t>
        </is>
      </c>
      <c r="BT89" t="inlineStr">
        <is>
          <t>None</t>
        </is>
      </c>
      <c r="BU89" t="inlineStr">
        <is>
          <t>Don't know</t>
        </is>
      </c>
      <c r="CD89" t="inlineStr">
        <is>
          <t xml:space="preserve">Very easy </t>
        </is>
      </c>
      <c r="CE89" t="inlineStr">
        <is>
          <t xml:space="preserve"> Very important</t>
        </is>
      </c>
      <c r="CF89" t="n">
        <v>596387486</v>
      </c>
      <c r="CG89" t="inlineStr">
        <is>
          <t>8ddb6212-2091-4637-bb7c-00592dd6b738</t>
        </is>
      </c>
      <c r="CH89" s="1" t="n">
        <v>45963.47967592593</v>
      </c>
      <c r="CK89" t="inlineStr">
        <is>
          <t>submitted_via_web</t>
        </is>
      </c>
      <c r="CM89" t="inlineStr">
        <is>
          <t>vteYUDpqfKnk39PHFZkvPS</t>
        </is>
      </c>
      <c r="CO89" t="inlineStr">
        <is>
          <t>uuid:8ddb6212-2091-4637-bb7c-00592dd6b738</t>
        </is>
      </c>
      <c r="CP89" t="n">
        <v>88</v>
      </c>
      <c r="CQ89" t="n">
        <v>5</v>
      </c>
      <c r="CR89" t="n">
        <v>0.4641035858837596</v>
      </c>
    </row>
    <row r="90">
      <c r="A90" s="1" t="n">
        <v>45963.70882072917</v>
      </c>
      <c r="B90" s="1" t="n">
        <v>45963.72798793981</v>
      </c>
      <c r="D90" t="inlineStr">
        <is>
          <t>46</t>
        </is>
      </c>
      <c r="E90" t="inlineStr">
        <is>
          <t>Female</t>
        </is>
      </c>
      <c r="F90" t="inlineStr">
        <is>
          <t>Sinhalese</t>
        </is>
      </c>
      <c r="H90" t="inlineStr">
        <is>
          <t>Buddhist</t>
        </is>
      </c>
      <c r="J90" t="inlineStr">
        <is>
          <t>Government sector</t>
        </is>
      </c>
      <c r="K90" t="inlineStr">
        <is>
          <t>51,000 – 100,000</t>
        </is>
      </c>
      <c r="L90" t="inlineStr">
        <is>
          <t xml:space="preserve">Up to A/L </t>
        </is>
      </c>
      <c r="M90" t="inlineStr">
        <is>
          <t>Western</t>
        </is>
      </c>
      <c r="N90" t="inlineStr">
        <is>
          <t xml:space="preserve">Married </t>
        </is>
      </c>
      <c r="O90" t="inlineStr">
        <is>
          <t xml:space="preserve">Yes, more than one child </t>
        </is>
      </c>
      <c r="P90" t="inlineStr">
        <is>
          <t>No</t>
        </is>
      </c>
      <c r="R90" s="1" t="n">
        <v>44100</v>
      </c>
      <c r="S90" t="inlineStr">
        <is>
          <t>During community screening</t>
        </is>
      </c>
      <c r="U90" t="inlineStr">
        <is>
          <t>Yes</t>
        </is>
      </c>
      <c r="V90" t="inlineStr">
        <is>
          <t>Thalassemia major (severe form)   Thalassemia minor or trait (carrier form)</t>
        </is>
      </c>
      <c r="W90" t="n">
        <v>1</v>
      </c>
      <c r="X90" t="n">
        <v>1</v>
      </c>
      <c r="Y90" t="n">
        <v>0</v>
      </c>
      <c r="Z90" t="n">
        <v>0</v>
      </c>
      <c r="AA90" t="inlineStr">
        <is>
          <t xml:space="preserve">Thalassemia major (severe form)  </t>
        </is>
      </c>
      <c r="AB90" t="n">
        <v>1</v>
      </c>
      <c r="AC90" t="n">
        <v>0</v>
      </c>
      <c r="AD90" t="n">
        <v>0</v>
      </c>
      <c r="AE90" t="n">
        <v>0</v>
      </c>
      <c r="AF90" t="inlineStr">
        <is>
          <t>Thalassemia minor or trait (carrier form)</t>
        </is>
      </c>
      <c r="AG90" t="n">
        <v>0</v>
      </c>
      <c r="AH90" t="n">
        <v>1</v>
      </c>
      <c r="AI90" t="n">
        <v>0</v>
      </c>
      <c r="AJ90" t="n">
        <v>0</v>
      </c>
      <c r="AK90" t="inlineStr">
        <is>
          <t>Yes</t>
        </is>
      </c>
      <c r="AL90" t="inlineStr">
        <is>
          <t xml:space="preserve">Cannot be cured   </t>
        </is>
      </c>
      <c r="AM90" t="inlineStr">
        <is>
          <t xml:space="preserve">Can be prevented </t>
        </is>
      </c>
      <c r="AN90" t="inlineStr">
        <is>
          <t xml:space="preserve">From generation to generation (hereditary)  </t>
        </is>
      </c>
      <c r="AO90" t="inlineStr">
        <is>
          <t>Healthy</t>
        </is>
      </c>
      <c r="AP90" t="inlineStr">
        <is>
          <t xml:space="preserve">Has a chance to be affected (e.g., 25%) </t>
        </is>
      </c>
      <c r="AQ90" t="inlineStr">
        <is>
          <t>No</t>
        </is>
      </c>
      <c r="AR90" t="inlineStr">
        <is>
          <t>Don’t know</t>
        </is>
      </c>
      <c r="AS90" t="inlineStr">
        <is>
          <t>Regular blood transfusions for life  Iron overload affecting heart and liver  Risk of infections from transfusions Frequent nosebleeds Fatigue Bone deformities</t>
        </is>
      </c>
      <c r="AT90" t="n">
        <v>1</v>
      </c>
      <c r="AU90" t="n">
        <v>1</v>
      </c>
      <c r="AV90" t="n">
        <v>0</v>
      </c>
      <c r="AW90" t="n">
        <v>0</v>
      </c>
      <c r="AX90" t="n">
        <v>1</v>
      </c>
      <c r="AY90" t="n">
        <v>1</v>
      </c>
      <c r="AZ90" t="n">
        <v>1</v>
      </c>
      <c r="BA90" t="n">
        <v>1</v>
      </c>
      <c r="BB90" t="inlineStr">
        <is>
          <t xml:space="preserve"> Get the partner tested before marriage   Get family members tested </t>
        </is>
      </c>
      <c r="BC90" t="n">
        <v>1</v>
      </c>
      <c r="BD90" t="n">
        <v>1</v>
      </c>
      <c r="BE90" t="n">
        <v>0</v>
      </c>
      <c r="BF90" t="n">
        <v>0</v>
      </c>
      <c r="BG90" t="inlineStr">
        <is>
          <t>Only found out after screening</t>
        </is>
      </c>
      <c r="BH90" t="inlineStr">
        <is>
          <t>Definitely not</t>
        </is>
      </c>
      <c r="BI90" t="inlineStr">
        <is>
          <t xml:space="preserve">No </t>
        </is>
      </c>
      <c r="BJ90" t="inlineStr">
        <is>
          <t xml:space="preserve">Important </t>
        </is>
      </c>
      <c r="BK90" t="inlineStr">
        <is>
          <t xml:space="preserve"> Partner was screened after marriage </t>
        </is>
      </c>
      <c r="BP90" t="inlineStr">
        <is>
          <t xml:space="preserve">Agree </t>
        </is>
      </c>
      <c r="BQ90" t="inlineStr">
        <is>
          <t xml:space="preserve">Yes </t>
        </is>
      </c>
      <c r="BS90" t="inlineStr">
        <is>
          <t>All</t>
        </is>
      </c>
      <c r="BT90" t="inlineStr">
        <is>
          <t>All</t>
        </is>
      </c>
      <c r="BU90" t="inlineStr">
        <is>
          <t>Don't know</t>
        </is>
      </c>
      <c r="CD90" t="inlineStr">
        <is>
          <t xml:space="preserve">Very easy </t>
        </is>
      </c>
      <c r="CE90" t="inlineStr">
        <is>
          <t xml:space="preserve"> Very important</t>
        </is>
      </c>
      <c r="CF90" t="n">
        <v>596399834</v>
      </c>
      <c r="CG90" t="inlineStr">
        <is>
          <t>54be1064-9968-4d4f-ab31-b7b35a959100</t>
        </is>
      </c>
      <c r="CH90" s="1" t="n">
        <v>45963.49885416667</v>
      </c>
      <c r="CK90" t="inlineStr">
        <is>
          <t>submitted_via_web</t>
        </is>
      </c>
      <c r="CM90" t="inlineStr">
        <is>
          <t>vteYUDpqfKnk39PHFZkvPS</t>
        </is>
      </c>
      <c r="CO90" t="inlineStr">
        <is>
          <t>uuid:54be1064-9968-4d4f-ab31-b7b35a959100</t>
        </is>
      </c>
      <c r="CP90" t="n">
        <v>89</v>
      </c>
      <c r="CQ90" t="n">
        <v>8</v>
      </c>
      <c r="CR90" t="n">
        <v>1.635042758636509</v>
      </c>
    </row>
    <row r="91">
      <c r="A91" s="1" t="n">
        <v>45963.7051446875</v>
      </c>
      <c r="B91" s="1" t="n">
        <v>45963.73899877315</v>
      </c>
      <c r="D91" t="inlineStr">
        <is>
          <t>24</t>
        </is>
      </c>
      <c r="E91" t="inlineStr">
        <is>
          <t>Female</t>
        </is>
      </c>
      <c r="F91" t="inlineStr">
        <is>
          <t>Sinhalese</t>
        </is>
      </c>
      <c r="H91" t="inlineStr">
        <is>
          <t>Buddhist</t>
        </is>
      </c>
      <c r="J91" t="inlineStr">
        <is>
          <t>Not employed</t>
        </is>
      </c>
      <c r="L91" t="inlineStr">
        <is>
          <t xml:space="preserve">Undergraduate </t>
        </is>
      </c>
      <c r="M91" t="inlineStr">
        <is>
          <t>Western</t>
        </is>
      </c>
      <c r="N91" t="inlineStr">
        <is>
          <t>Single</t>
        </is>
      </c>
      <c r="P91" t="inlineStr">
        <is>
          <t>No</t>
        </is>
      </c>
      <c r="S91" t="inlineStr">
        <is>
          <t xml:space="preserve">During school/university  </t>
        </is>
      </c>
      <c r="U91" t="inlineStr">
        <is>
          <t xml:space="preserve">No </t>
        </is>
      </c>
      <c r="V91" t="inlineStr">
        <is>
          <t>I don’t know</t>
        </is>
      </c>
      <c r="W91" t="n">
        <v>0</v>
      </c>
      <c r="X91" t="n">
        <v>0</v>
      </c>
      <c r="Y91" t="n">
        <v>0</v>
      </c>
      <c r="Z91" t="n">
        <v>1</v>
      </c>
      <c r="AA91" t="inlineStr">
        <is>
          <t>I don’t know</t>
        </is>
      </c>
      <c r="AB91" t="n">
        <v>0</v>
      </c>
      <c r="AC91" t="n">
        <v>0</v>
      </c>
      <c r="AD91" t="n">
        <v>0</v>
      </c>
      <c r="AE91" t="n">
        <v>1</v>
      </c>
      <c r="AF91" t="inlineStr">
        <is>
          <t>Thalassemia minor or trait (carrier form)</t>
        </is>
      </c>
      <c r="AG91" t="n">
        <v>0</v>
      </c>
      <c r="AH91" t="n">
        <v>1</v>
      </c>
      <c r="AI91" t="n">
        <v>0</v>
      </c>
      <c r="AJ91" t="n">
        <v>0</v>
      </c>
      <c r="AK91" t="inlineStr">
        <is>
          <t>Don’t know</t>
        </is>
      </c>
      <c r="AL91" t="inlineStr">
        <is>
          <t xml:space="preserve">Cannot be cured   </t>
        </is>
      </c>
      <c r="AM91" t="inlineStr">
        <is>
          <t xml:space="preserve">Can be prevented </t>
        </is>
      </c>
      <c r="AN91" t="inlineStr">
        <is>
          <t xml:space="preserve">From generation to generation (hereditary)  </t>
        </is>
      </c>
      <c r="AO91" t="inlineStr">
        <is>
          <t>Healthy</t>
        </is>
      </c>
      <c r="AP91" t="inlineStr">
        <is>
          <t xml:space="preserve">Has a chance to be affected (e.g., 25%) </t>
        </is>
      </c>
      <c r="AQ91" t="inlineStr">
        <is>
          <t xml:space="preserve">Yes </t>
        </is>
      </c>
      <c r="AR91" t="inlineStr">
        <is>
          <t>Don’t know</t>
        </is>
      </c>
      <c r="AS91" t="inlineStr">
        <is>
          <t xml:space="preserve">Regular blood transfusions for life </t>
        </is>
      </c>
      <c r="AT91" t="n">
        <v>1</v>
      </c>
      <c r="AU91" t="n">
        <v>0</v>
      </c>
      <c r="AV91" t="n">
        <v>0</v>
      </c>
      <c r="AW91" t="n">
        <v>0</v>
      </c>
      <c r="AX91" t="n">
        <v>0</v>
      </c>
      <c r="AY91" t="n">
        <v>0</v>
      </c>
      <c r="AZ91" t="n">
        <v>0</v>
      </c>
      <c r="BA91" t="n">
        <v>0</v>
      </c>
      <c r="BB91" t="inlineStr">
        <is>
          <t xml:space="preserve"> Get the partner tested before marriage   Get family members tested </t>
        </is>
      </c>
      <c r="BC91" t="n">
        <v>1</v>
      </c>
      <c r="BD91" t="n">
        <v>1</v>
      </c>
      <c r="BE91" t="n">
        <v>0</v>
      </c>
      <c r="BF91" t="n">
        <v>0</v>
      </c>
      <c r="BG91" t="inlineStr">
        <is>
          <t xml:space="preserve">School  </t>
        </is>
      </c>
      <c r="BH91" t="inlineStr">
        <is>
          <t>Definitely not</t>
        </is>
      </c>
      <c r="BI91" t="inlineStr">
        <is>
          <t xml:space="preserve">No </t>
        </is>
      </c>
      <c r="BJ91" t="inlineStr">
        <is>
          <t xml:space="preserve">Very important </t>
        </is>
      </c>
      <c r="BK91" t="inlineStr">
        <is>
          <t>Other</t>
        </is>
      </c>
      <c r="BL91" t="inlineStr">
        <is>
          <t>Still not married. Will be screen before marriage</t>
        </is>
      </c>
      <c r="BM91" t="inlineStr">
        <is>
          <t>Other</t>
        </is>
      </c>
      <c r="BN91" t="inlineStr">
        <is>
          <t>Still not married. Will be screen before marriage</t>
        </is>
      </c>
      <c r="BP91" t="inlineStr">
        <is>
          <t xml:space="preserve">Agree </t>
        </is>
      </c>
      <c r="BQ91" t="inlineStr">
        <is>
          <t xml:space="preserve">Yes </t>
        </is>
      </c>
      <c r="BS91" t="inlineStr">
        <is>
          <t>All</t>
        </is>
      </c>
      <c r="BT91" t="inlineStr">
        <is>
          <t>None</t>
        </is>
      </c>
      <c r="BU91" t="inlineStr">
        <is>
          <t>None</t>
        </is>
      </c>
      <c r="BV91" t="inlineStr">
        <is>
          <t xml:space="preserve">Lack of knowledge </t>
        </is>
      </c>
      <c r="BW91" t="n">
        <v>1</v>
      </c>
      <c r="BX91" t="n">
        <v>0</v>
      </c>
      <c r="BY91" t="n">
        <v>0</v>
      </c>
      <c r="BZ91" t="n">
        <v>0</v>
      </c>
      <c r="CA91" t="n">
        <v>0</v>
      </c>
      <c r="CB91" t="n">
        <v>0</v>
      </c>
      <c r="CD91" t="inlineStr">
        <is>
          <t xml:space="preserve">Somewhat easy </t>
        </is>
      </c>
      <c r="CE91" t="inlineStr">
        <is>
          <t xml:space="preserve"> Very important</t>
        </is>
      </c>
      <c r="CF91" t="n">
        <v>596407607</v>
      </c>
      <c r="CG91" t="inlineStr">
        <is>
          <t>01523106-7b81-4a3c-9c5d-26b2c35f6c3a</t>
        </is>
      </c>
      <c r="CH91" s="1" t="n">
        <v>45963.50984953704</v>
      </c>
      <c r="CK91" t="inlineStr">
        <is>
          <t>submitted_via_web</t>
        </is>
      </c>
      <c r="CM91" t="inlineStr">
        <is>
          <t>vteYUDpqfKnk39PHFZkvPS</t>
        </is>
      </c>
      <c r="CO91" t="inlineStr">
        <is>
          <t>uuid:01523106-7b81-4a3c-9c5d-26b2c35f6c3a</t>
        </is>
      </c>
      <c r="CP91" t="n">
        <v>90</v>
      </c>
      <c r="CQ91" t="n">
        <v>1</v>
      </c>
      <c r="CR91" t="n">
        <v>-1.097148644453239</v>
      </c>
    </row>
    <row r="92">
      <c r="A92" s="1" t="n">
        <v>45963.73900048611</v>
      </c>
      <c r="B92" s="1" t="n">
        <v>45963.76318899306</v>
      </c>
      <c r="D92" t="inlineStr">
        <is>
          <t>24</t>
        </is>
      </c>
      <c r="E92" t="inlineStr">
        <is>
          <t>Female</t>
        </is>
      </c>
      <c r="F92" t="inlineStr">
        <is>
          <t>Sinhalese</t>
        </is>
      </c>
      <c r="H92" t="inlineStr">
        <is>
          <t>Buddhist</t>
        </is>
      </c>
      <c r="J92" t="inlineStr">
        <is>
          <t>Not employed</t>
        </is>
      </c>
      <c r="L92" t="inlineStr">
        <is>
          <t xml:space="preserve">Undergraduate </t>
        </is>
      </c>
      <c r="M92" t="inlineStr">
        <is>
          <t>Western</t>
        </is>
      </c>
      <c r="N92" t="inlineStr">
        <is>
          <t>Single</t>
        </is>
      </c>
      <c r="P92" t="inlineStr">
        <is>
          <t>No</t>
        </is>
      </c>
      <c r="S92" t="inlineStr">
        <is>
          <t xml:space="preserve">During school/university  </t>
        </is>
      </c>
      <c r="U92" t="inlineStr">
        <is>
          <t>Yes</t>
        </is>
      </c>
      <c r="V92" t="inlineStr">
        <is>
          <t>Thalassemia major (severe form)   Thalassemia minor or trait (carrier form)</t>
        </is>
      </c>
      <c r="W92" t="n">
        <v>1</v>
      </c>
      <c r="X92" t="n">
        <v>1</v>
      </c>
      <c r="Y92" t="n">
        <v>0</v>
      </c>
      <c r="Z92" t="n">
        <v>0</v>
      </c>
      <c r="AA92" t="inlineStr">
        <is>
          <t xml:space="preserve">Thalassemia major (severe form)  </t>
        </is>
      </c>
      <c r="AB92" t="n">
        <v>1</v>
      </c>
      <c r="AC92" t="n">
        <v>0</v>
      </c>
      <c r="AD92" t="n">
        <v>0</v>
      </c>
      <c r="AE92" t="n">
        <v>0</v>
      </c>
      <c r="AF92" t="inlineStr">
        <is>
          <t>Thalassemia minor or trait (carrier form)</t>
        </is>
      </c>
      <c r="AG92" t="n">
        <v>0</v>
      </c>
      <c r="AH92" t="n">
        <v>1</v>
      </c>
      <c r="AI92" t="n">
        <v>0</v>
      </c>
      <c r="AJ92" t="n">
        <v>0</v>
      </c>
      <c r="AK92" t="inlineStr">
        <is>
          <t>Don’t know</t>
        </is>
      </c>
      <c r="AL92" t="inlineStr">
        <is>
          <t xml:space="preserve">Cannot be cured   </t>
        </is>
      </c>
      <c r="AM92" t="inlineStr">
        <is>
          <t xml:space="preserve">Can be prevented </t>
        </is>
      </c>
      <c r="AN92" t="inlineStr">
        <is>
          <t xml:space="preserve">From generation to generation (hereditary)  </t>
        </is>
      </c>
      <c r="AO92" t="inlineStr">
        <is>
          <t xml:space="preserve">Not healthy  </t>
        </is>
      </c>
      <c r="AP92" t="inlineStr">
        <is>
          <t xml:space="preserve">Has a chance to be affected (e.g., 25%) </t>
        </is>
      </c>
      <c r="AQ92" t="inlineStr">
        <is>
          <t xml:space="preserve">Yes </t>
        </is>
      </c>
      <c r="AR92" t="inlineStr">
        <is>
          <t>Don’t know</t>
        </is>
      </c>
      <c r="AS92" t="inlineStr">
        <is>
          <t xml:space="preserve">Regular blood transfusions for life </t>
        </is>
      </c>
      <c r="AT92" t="n">
        <v>1</v>
      </c>
      <c r="AU92" t="n">
        <v>0</v>
      </c>
      <c r="AV92" t="n">
        <v>0</v>
      </c>
      <c r="AW92" t="n">
        <v>0</v>
      </c>
      <c r="AX92" t="n">
        <v>0</v>
      </c>
      <c r="AY92" t="n">
        <v>0</v>
      </c>
      <c r="AZ92" t="n">
        <v>0</v>
      </c>
      <c r="BA92" t="n">
        <v>0</v>
      </c>
      <c r="BB92" t="inlineStr">
        <is>
          <t xml:space="preserve"> Get the partner tested before marriage   Get family members tested </t>
        </is>
      </c>
      <c r="BC92" t="n">
        <v>1</v>
      </c>
      <c r="BD92" t="n">
        <v>1</v>
      </c>
      <c r="BE92" t="n">
        <v>0</v>
      </c>
      <c r="BF92" t="n">
        <v>0</v>
      </c>
      <c r="BG92" t="inlineStr">
        <is>
          <t xml:space="preserve">School  </t>
        </is>
      </c>
      <c r="BH92" t="inlineStr">
        <is>
          <t>Definitely not</t>
        </is>
      </c>
      <c r="BI92" t="inlineStr">
        <is>
          <t xml:space="preserve">No </t>
        </is>
      </c>
      <c r="BJ92" t="inlineStr">
        <is>
          <t xml:space="preserve">Very important </t>
        </is>
      </c>
      <c r="BK92" t="inlineStr">
        <is>
          <t>Other</t>
        </is>
      </c>
      <c r="BL92" t="inlineStr">
        <is>
          <t>Still not married. Will be screen before marriage</t>
        </is>
      </c>
      <c r="BM92" t="inlineStr">
        <is>
          <t>Other</t>
        </is>
      </c>
      <c r="BN92" t="inlineStr">
        <is>
          <t>Still not married. Will be screen before marriage</t>
        </is>
      </c>
      <c r="BP92" t="inlineStr">
        <is>
          <t xml:space="preserve">Agree </t>
        </is>
      </c>
      <c r="BQ92" t="inlineStr">
        <is>
          <t xml:space="preserve">Yes </t>
        </is>
      </c>
      <c r="BS92" t="inlineStr">
        <is>
          <t>Some</t>
        </is>
      </c>
      <c r="BT92" t="inlineStr">
        <is>
          <t>None</t>
        </is>
      </c>
      <c r="BU92" t="inlineStr">
        <is>
          <t>None</t>
        </is>
      </c>
      <c r="BV92" t="inlineStr">
        <is>
          <t>Lack of knowledge  Perception that screening was unnecessary</t>
        </is>
      </c>
      <c r="BW92" t="n">
        <v>1</v>
      </c>
      <c r="BX92" t="n">
        <v>0</v>
      </c>
      <c r="BY92" t="n">
        <v>0</v>
      </c>
      <c r="BZ92" t="n">
        <v>1</v>
      </c>
      <c r="CA92" t="n">
        <v>0</v>
      </c>
      <c r="CB92" t="n">
        <v>0</v>
      </c>
      <c r="CD92" t="inlineStr">
        <is>
          <t xml:space="preserve">Somewhat easy </t>
        </is>
      </c>
      <c r="CE92" t="inlineStr">
        <is>
          <t xml:space="preserve"> Very important</t>
        </is>
      </c>
      <c r="CF92" t="n">
        <v>596424374</v>
      </c>
      <c r="CG92" t="inlineStr">
        <is>
          <t>17186425-fe93-42d7-b4dd-d9e35caf3ce5</t>
        </is>
      </c>
      <c r="CH92" s="1" t="n">
        <v>45963.53403935185</v>
      </c>
      <c r="CK92" t="inlineStr">
        <is>
          <t>submitted_via_web</t>
        </is>
      </c>
      <c r="CM92" t="inlineStr">
        <is>
          <t>vteYUDpqfKnk39PHFZkvPS</t>
        </is>
      </c>
      <c r="CO92" t="inlineStr">
        <is>
          <t>uuid:17186425-fe93-42d7-b4dd-d9e35caf3ce5</t>
        </is>
      </c>
      <c r="CP92" t="n">
        <v>91</v>
      </c>
      <c r="CQ92" t="n">
        <v>3</v>
      </c>
      <c r="CR92" t="n">
        <v>-0.3165225292847399</v>
      </c>
    </row>
    <row r="93">
      <c r="A93" s="1" t="n">
        <v>45963.7631908912</v>
      </c>
      <c r="B93" s="1" t="n">
        <v>45963.76447850694</v>
      </c>
      <c r="D93" t="inlineStr">
        <is>
          <t>24</t>
        </is>
      </c>
      <c r="E93" t="inlineStr">
        <is>
          <t>Female</t>
        </is>
      </c>
      <c r="F93" t="inlineStr">
        <is>
          <t>Sinhalese</t>
        </is>
      </c>
      <c r="H93" t="inlineStr">
        <is>
          <t>Buddhist</t>
        </is>
      </c>
      <c r="J93" t="inlineStr">
        <is>
          <t>Private sector</t>
        </is>
      </c>
      <c r="K93" t="inlineStr">
        <is>
          <t>25,000 – 50,000</t>
        </is>
      </c>
      <c r="L93" t="inlineStr">
        <is>
          <t xml:space="preserve">Up to A/L </t>
        </is>
      </c>
      <c r="M93" t="inlineStr">
        <is>
          <t>Western</t>
        </is>
      </c>
      <c r="N93" t="inlineStr">
        <is>
          <t>Single</t>
        </is>
      </c>
      <c r="P93" t="inlineStr">
        <is>
          <t>No</t>
        </is>
      </c>
      <c r="S93" t="inlineStr">
        <is>
          <t xml:space="preserve">During school/university  </t>
        </is>
      </c>
      <c r="U93" t="inlineStr">
        <is>
          <t>Yes</t>
        </is>
      </c>
      <c r="V93" t="inlineStr">
        <is>
          <t>Thalassemia major (severe form)   Thalassemia minor or trait (carrier form)</t>
        </is>
      </c>
      <c r="W93" t="n">
        <v>1</v>
      </c>
      <c r="X93" t="n">
        <v>1</v>
      </c>
      <c r="Y93" t="n">
        <v>0</v>
      </c>
      <c r="Z93" t="n">
        <v>0</v>
      </c>
      <c r="AA93" t="inlineStr">
        <is>
          <t>I don’t know</t>
        </is>
      </c>
      <c r="AB93" t="n">
        <v>0</v>
      </c>
      <c r="AC93" t="n">
        <v>0</v>
      </c>
      <c r="AD93" t="n">
        <v>0</v>
      </c>
      <c r="AE93" t="n">
        <v>1</v>
      </c>
      <c r="AF93" t="inlineStr">
        <is>
          <t>Thalassemia minor or trait (carrier form)</t>
        </is>
      </c>
      <c r="AG93" t="n">
        <v>0</v>
      </c>
      <c r="AH93" t="n">
        <v>1</v>
      </c>
      <c r="AI93" t="n">
        <v>0</v>
      </c>
      <c r="AJ93" t="n">
        <v>0</v>
      </c>
      <c r="AK93" t="inlineStr">
        <is>
          <t>Don’t know</t>
        </is>
      </c>
      <c r="AL93" t="inlineStr">
        <is>
          <t xml:space="preserve">Cannot be cured   </t>
        </is>
      </c>
      <c r="AM93" t="inlineStr">
        <is>
          <t xml:space="preserve">Can be prevented </t>
        </is>
      </c>
      <c r="AN93" t="inlineStr">
        <is>
          <t xml:space="preserve">From generation to generation (hereditary)  </t>
        </is>
      </c>
      <c r="AO93" t="inlineStr">
        <is>
          <t>Healthy</t>
        </is>
      </c>
      <c r="AP93" t="inlineStr">
        <is>
          <t xml:space="preserve">Has a chance to be affected (e.g., 25%) </t>
        </is>
      </c>
      <c r="AQ93" t="inlineStr">
        <is>
          <t xml:space="preserve">Yes </t>
        </is>
      </c>
      <c r="AR93" t="inlineStr">
        <is>
          <t>Don’t know</t>
        </is>
      </c>
      <c r="AS93" t="inlineStr">
        <is>
          <t xml:space="preserve">Regular blood transfusions for life </t>
        </is>
      </c>
      <c r="AT93" t="n">
        <v>1</v>
      </c>
      <c r="AU93" t="n">
        <v>0</v>
      </c>
      <c r="AV93" t="n">
        <v>0</v>
      </c>
      <c r="AW93" t="n">
        <v>0</v>
      </c>
      <c r="AX93" t="n">
        <v>0</v>
      </c>
      <c r="AY93" t="n">
        <v>0</v>
      </c>
      <c r="AZ93" t="n">
        <v>0</v>
      </c>
      <c r="BA93" t="n">
        <v>0</v>
      </c>
      <c r="BB93" t="inlineStr">
        <is>
          <t xml:space="preserve"> Get the partner tested before marriage   Get family members tested </t>
        </is>
      </c>
      <c r="BC93" t="n">
        <v>1</v>
      </c>
      <c r="BD93" t="n">
        <v>1</v>
      </c>
      <c r="BE93" t="n">
        <v>0</v>
      </c>
      <c r="BF93" t="n">
        <v>0</v>
      </c>
      <c r="BG93" t="inlineStr">
        <is>
          <t xml:space="preserve">School  </t>
        </is>
      </c>
      <c r="BH93" t="inlineStr">
        <is>
          <t>Definitely not</t>
        </is>
      </c>
      <c r="BI93" t="inlineStr">
        <is>
          <t xml:space="preserve">No </t>
        </is>
      </c>
      <c r="BJ93" t="inlineStr">
        <is>
          <t xml:space="preserve">Very important </t>
        </is>
      </c>
      <c r="BK93" t="inlineStr">
        <is>
          <t>Other</t>
        </is>
      </c>
      <c r="BL93" t="inlineStr">
        <is>
          <t>Still not married. Will be screen before marriage</t>
        </is>
      </c>
      <c r="BM93" t="inlineStr">
        <is>
          <t>Other</t>
        </is>
      </c>
      <c r="BN93" t="inlineStr">
        <is>
          <t>Still not married. Will be screen before marriage</t>
        </is>
      </c>
      <c r="BP93" t="inlineStr">
        <is>
          <t xml:space="preserve">Agree </t>
        </is>
      </c>
      <c r="BQ93" t="inlineStr">
        <is>
          <t xml:space="preserve">Yes </t>
        </is>
      </c>
      <c r="BS93" t="inlineStr">
        <is>
          <t>Some</t>
        </is>
      </c>
      <c r="BT93" t="inlineStr">
        <is>
          <t>None</t>
        </is>
      </c>
      <c r="BU93" t="inlineStr">
        <is>
          <t>None</t>
        </is>
      </c>
      <c r="BV93" t="inlineStr">
        <is>
          <t>Lack of knowledge  Perception that screening was unnecessary</t>
        </is>
      </c>
      <c r="BW93" t="n">
        <v>1</v>
      </c>
      <c r="BX93" t="n">
        <v>0</v>
      </c>
      <c r="BY93" t="n">
        <v>0</v>
      </c>
      <c r="BZ93" t="n">
        <v>1</v>
      </c>
      <c r="CA93" t="n">
        <v>0</v>
      </c>
      <c r="CB93" t="n">
        <v>0</v>
      </c>
      <c r="CD93" t="inlineStr">
        <is>
          <t xml:space="preserve">Somewhat easy </t>
        </is>
      </c>
      <c r="CE93" t="inlineStr">
        <is>
          <t xml:space="preserve"> Very important</t>
        </is>
      </c>
      <c r="CF93" t="n">
        <v>596425520</v>
      </c>
      <c r="CG93" t="inlineStr">
        <is>
          <t>69ffcdca-ae2f-4198-a3ee-92d95087375b</t>
        </is>
      </c>
      <c r="CH93" s="1" t="n">
        <v>45963.53545138889</v>
      </c>
      <c r="CK93" t="inlineStr">
        <is>
          <t>submitted_via_web</t>
        </is>
      </c>
      <c r="CM93" t="inlineStr">
        <is>
          <t>vteYUDpqfKnk39PHFZkvPS</t>
        </is>
      </c>
      <c r="CO93" t="inlineStr">
        <is>
          <t>uuid:69ffcdca-ae2f-4198-a3ee-92d95087375b</t>
        </is>
      </c>
      <c r="CP93" t="n">
        <v>92</v>
      </c>
      <c r="CQ93" t="n">
        <v>3</v>
      </c>
      <c r="CR93" t="n">
        <v>-0.3165225292847399</v>
      </c>
    </row>
    <row r="94">
      <c r="A94" s="1" t="n">
        <v>45963.76447959491</v>
      </c>
      <c r="B94" s="1" t="n">
        <v>45963.76866804398</v>
      </c>
      <c r="D94" t="inlineStr">
        <is>
          <t>23</t>
        </is>
      </c>
      <c r="E94" t="inlineStr">
        <is>
          <t>Female</t>
        </is>
      </c>
      <c r="F94" t="inlineStr">
        <is>
          <t>Sinhalese</t>
        </is>
      </c>
      <c r="H94" t="inlineStr">
        <is>
          <t>Roman Catholic</t>
        </is>
      </c>
      <c r="J94" t="inlineStr">
        <is>
          <t>Private sector</t>
        </is>
      </c>
      <c r="K94" t="inlineStr">
        <is>
          <t>25,000 – 50,000</t>
        </is>
      </c>
      <c r="L94" t="inlineStr">
        <is>
          <t xml:space="preserve">Up to A/L </t>
        </is>
      </c>
      <c r="M94" t="inlineStr">
        <is>
          <t>Western</t>
        </is>
      </c>
      <c r="N94" t="inlineStr">
        <is>
          <t>Single</t>
        </is>
      </c>
      <c r="P94" t="inlineStr">
        <is>
          <t>No</t>
        </is>
      </c>
      <c r="R94" s="1" t="n">
        <v>43641</v>
      </c>
      <c r="S94" t="inlineStr">
        <is>
          <t xml:space="preserve">During school/university  </t>
        </is>
      </c>
      <c r="U94" t="inlineStr">
        <is>
          <t>Yes</t>
        </is>
      </c>
      <c r="V94" t="inlineStr">
        <is>
          <t>Thalassemia major (severe form)   Thalassemia minor or trait (carrier form)</t>
        </is>
      </c>
      <c r="W94" t="n">
        <v>1</v>
      </c>
      <c r="X94" t="n">
        <v>1</v>
      </c>
      <c r="Y94" t="n">
        <v>0</v>
      </c>
      <c r="Z94" t="n">
        <v>0</v>
      </c>
      <c r="AA94" t="inlineStr">
        <is>
          <t>I don’t know</t>
        </is>
      </c>
      <c r="AB94" t="n">
        <v>0</v>
      </c>
      <c r="AC94" t="n">
        <v>0</v>
      </c>
      <c r="AD94" t="n">
        <v>0</v>
      </c>
      <c r="AE94" t="n">
        <v>1</v>
      </c>
      <c r="AF94" t="inlineStr">
        <is>
          <t>Thalassemia minor or trait (carrier form)</t>
        </is>
      </c>
      <c r="AG94" t="n">
        <v>0</v>
      </c>
      <c r="AH94" t="n">
        <v>1</v>
      </c>
      <c r="AI94" t="n">
        <v>0</v>
      </c>
      <c r="AJ94" t="n">
        <v>0</v>
      </c>
      <c r="AK94" t="inlineStr">
        <is>
          <t>Yes</t>
        </is>
      </c>
      <c r="AL94" t="inlineStr">
        <is>
          <t>Don’t know</t>
        </is>
      </c>
      <c r="AM94" t="inlineStr">
        <is>
          <t xml:space="preserve">Can be prevented </t>
        </is>
      </c>
      <c r="AN94" t="inlineStr">
        <is>
          <t xml:space="preserve">From generation to generation (hereditary)  </t>
        </is>
      </c>
      <c r="AO94" t="inlineStr">
        <is>
          <t>Healthy</t>
        </is>
      </c>
      <c r="AP94" t="inlineStr">
        <is>
          <t xml:space="preserve">Has a chance to be affected (e.g., 25%) </t>
        </is>
      </c>
      <c r="AQ94" t="inlineStr">
        <is>
          <t xml:space="preserve">Yes </t>
        </is>
      </c>
      <c r="AR94" t="inlineStr">
        <is>
          <t>Don’t know</t>
        </is>
      </c>
      <c r="AS94" t="inlineStr">
        <is>
          <t xml:space="preserve">Regular blood transfusions for life </t>
        </is>
      </c>
      <c r="AT94" t="n">
        <v>1</v>
      </c>
      <c r="AU94" t="n">
        <v>0</v>
      </c>
      <c r="AV94" t="n">
        <v>0</v>
      </c>
      <c r="AW94" t="n">
        <v>0</v>
      </c>
      <c r="AX94" t="n">
        <v>0</v>
      </c>
      <c r="AY94" t="n">
        <v>0</v>
      </c>
      <c r="AZ94" t="n">
        <v>0</v>
      </c>
      <c r="BA94" t="n">
        <v>0</v>
      </c>
      <c r="BB94" t="inlineStr">
        <is>
          <t xml:space="preserve"> Get the partner tested before marriage   Get family members tested </t>
        </is>
      </c>
      <c r="BC94" t="n">
        <v>1</v>
      </c>
      <c r="BD94" t="n">
        <v>1</v>
      </c>
      <c r="BE94" t="n">
        <v>0</v>
      </c>
      <c r="BF94" t="n">
        <v>0</v>
      </c>
      <c r="BG94" t="inlineStr">
        <is>
          <t xml:space="preserve">School  </t>
        </is>
      </c>
      <c r="BH94" t="inlineStr">
        <is>
          <t>Definitely not</t>
        </is>
      </c>
      <c r="BI94" t="inlineStr">
        <is>
          <t xml:space="preserve">No </t>
        </is>
      </c>
      <c r="BJ94" t="inlineStr">
        <is>
          <t xml:space="preserve">Very important </t>
        </is>
      </c>
      <c r="BK94" t="inlineStr">
        <is>
          <t>Other</t>
        </is>
      </c>
      <c r="BL94" t="inlineStr">
        <is>
          <t>Still not married. Will be screen before marriage</t>
        </is>
      </c>
      <c r="BM94" t="inlineStr">
        <is>
          <t>Other</t>
        </is>
      </c>
      <c r="BN94" t="inlineStr">
        <is>
          <t>Still not married. Will be screen before marriage</t>
        </is>
      </c>
      <c r="BP94" t="inlineStr">
        <is>
          <t xml:space="preserve">Agree </t>
        </is>
      </c>
      <c r="BQ94" t="inlineStr">
        <is>
          <t xml:space="preserve">Yes </t>
        </is>
      </c>
      <c r="BS94" t="inlineStr">
        <is>
          <t>Some</t>
        </is>
      </c>
      <c r="BT94" t="inlineStr">
        <is>
          <t>None</t>
        </is>
      </c>
      <c r="BU94" t="inlineStr">
        <is>
          <t>None</t>
        </is>
      </c>
      <c r="BV94" t="inlineStr">
        <is>
          <t>Lack of knowledge  Perception that screening was unnecessary</t>
        </is>
      </c>
      <c r="BW94" t="n">
        <v>1</v>
      </c>
      <c r="BX94" t="n">
        <v>0</v>
      </c>
      <c r="BY94" t="n">
        <v>0</v>
      </c>
      <c r="BZ94" t="n">
        <v>1</v>
      </c>
      <c r="CA94" t="n">
        <v>0</v>
      </c>
      <c r="CB94" t="n">
        <v>0</v>
      </c>
      <c r="CD94" t="inlineStr">
        <is>
          <t xml:space="preserve">Somewhat easy </t>
        </is>
      </c>
      <c r="CE94" t="inlineStr">
        <is>
          <t xml:space="preserve"> Very important</t>
        </is>
      </c>
      <c r="CF94" t="n">
        <v>596428391</v>
      </c>
      <c r="CG94" t="inlineStr">
        <is>
          <t>8e955964-c3db-4745-9b84-d1a69769bb21</t>
        </is>
      </c>
      <c r="CH94" s="1" t="n">
        <v>45963.53951388889</v>
      </c>
      <c r="CK94" t="inlineStr">
        <is>
          <t>submitted_via_web</t>
        </is>
      </c>
      <c r="CM94" t="inlineStr">
        <is>
          <t>vteYUDpqfKnk39PHFZkvPS</t>
        </is>
      </c>
      <c r="CO94" t="inlineStr">
        <is>
          <t>uuid:8e955964-c3db-4745-9b84-d1a69769bb21</t>
        </is>
      </c>
      <c r="CP94" t="n">
        <v>93</v>
      </c>
      <c r="CQ94" t="n">
        <v>3</v>
      </c>
      <c r="CR94" t="n">
        <v>-0.3165225292847399</v>
      </c>
    </row>
    <row r="95">
      <c r="A95" s="1" t="n">
        <v>45963.76866924769</v>
      </c>
      <c r="B95" s="1" t="n">
        <v>45963.77012896991</v>
      </c>
      <c r="D95" t="inlineStr">
        <is>
          <t>24</t>
        </is>
      </c>
      <c r="E95" t="inlineStr">
        <is>
          <t>Female</t>
        </is>
      </c>
      <c r="F95" t="inlineStr">
        <is>
          <t>Sinhalese</t>
        </is>
      </c>
      <c r="H95" t="inlineStr">
        <is>
          <t>Buddhist</t>
        </is>
      </c>
      <c r="J95" t="inlineStr">
        <is>
          <t>Not employed</t>
        </is>
      </c>
      <c r="L95" t="inlineStr">
        <is>
          <t xml:space="preserve">Undergraduate </t>
        </is>
      </c>
      <c r="M95" t="inlineStr">
        <is>
          <t>Western</t>
        </is>
      </c>
      <c r="N95" t="inlineStr">
        <is>
          <t>Single</t>
        </is>
      </c>
      <c r="P95" t="inlineStr">
        <is>
          <t>No</t>
        </is>
      </c>
      <c r="S95" t="inlineStr">
        <is>
          <t xml:space="preserve">During school/university  </t>
        </is>
      </c>
      <c r="U95" t="inlineStr">
        <is>
          <t>Yes</t>
        </is>
      </c>
      <c r="V95" t="inlineStr">
        <is>
          <t>Thalassemia major (severe form)   Thalassemia minor or trait (carrier form)</t>
        </is>
      </c>
      <c r="W95" t="n">
        <v>1</v>
      </c>
      <c r="X95" t="n">
        <v>1</v>
      </c>
      <c r="Y95" t="n">
        <v>0</v>
      </c>
      <c r="Z95" t="n">
        <v>0</v>
      </c>
      <c r="AA95" t="inlineStr">
        <is>
          <t xml:space="preserve">Thalassemia major (severe form)  </t>
        </is>
      </c>
      <c r="AB95" t="n">
        <v>1</v>
      </c>
      <c r="AC95" t="n">
        <v>0</v>
      </c>
      <c r="AD95" t="n">
        <v>0</v>
      </c>
      <c r="AE95" t="n">
        <v>0</v>
      </c>
      <c r="AF95" t="inlineStr">
        <is>
          <t>Thalassemia minor or trait (carrier form)</t>
        </is>
      </c>
      <c r="AG95" t="n">
        <v>0</v>
      </c>
      <c r="AH95" t="n">
        <v>1</v>
      </c>
      <c r="AI95" t="n">
        <v>0</v>
      </c>
      <c r="AJ95" t="n">
        <v>0</v>
      </c>
      <c r="AK95" t="inlineStr">
        <is>
          <t>Yes</t>
        </is>
      </c>
      <c r="AL95" t="inlineStr">
        <is>
          <t>Very difficult (e.g., bone marrow transplant)</t>
        </is>
      </c>
      <c r="AM95" t="inlineStr">
        <is>
          <t xml:space="preserve">Can be prevented </t>
        </is>
      </c>
      <c r="AN95" t="inlineStr">
        <is>
          <t xml:space="preserve">From generation to generation (hereditary)  </t>
        </is>
      </c>
      <c r="AO95" t="inlineStr">
        <is>
          <t>Healthy</t>
        </is>
      </c>
      <c r="AP95" t="inlineStr">
        <is>
          <t xml:space="preserve">Has a chance to be affected (e.g., 25%) </t>
        </is>
      </c>
      <c r="AQ95" t="inlineStr">
        <is>
          <t xml:space="preserve">Yes </t>
        </is>
      </c>
      <c r="AR95" t="inlineStr">
        <is>
          <t>Don’t know</t>
        </is>
      </c>
      <c r="AS95" t="inlineStr">
        <is>
          <t xml:space="preserve">Regular blood transfusions for life </t>
        </is>
      </c>
      <c r="AT95" t="n">
        <v>1</v>
      </c>
      <c r="AU95" t="n">
        <v>0</v>
      </c>
      <c r="AV95" t="n">
        <v>0</v>
      </c>
      <c r="AW95" t="n">
        <v>0</v>
      </c>
      <c r="AX95" t="n">
        <v>0</v>
      </c>
      <c r="AY95" t="n">
        <v>0</v>
      </c>
      <c r="AZ95" t="n">
        <v>0</v>
      </c>
      <c r="BA95" t="n">
        <v>0</v>
      </c>
      <c r="BB95" t="inlineStr">
        <is>
          <t xml:space="preserve"> Get the partner tested before marriage   Get family members tested </t>
        </is>
      </c>
      <c r="BC95" t="n">
        <v>1</v>
      </c>
      <c r="BD95" t="n">
        <v>1</v>
      </c>
      <c r="BE95" t="n">
        <v>0</v>
      </c>
      <c r="BF95" t="n">
        <v>0</v>
      </c>
      <c r="BG95" t="inlineStr">
        <is>
          <t xml:space="preserve">School  </t>
        </is>
      </c>
      <c r="BH95" t="inlineStr">
        <is>
          <t>Definitely not</t>
        </is>
      </c>
      <c r="BI95" t="inlineStr">
        <is>
          <t xml:space="preserve">No </t>
        </is>
      </c>
      <c r="BJ95" t="inlineStr">
        <is>
          <t xml:space="preserve">Very important </t>
        </is>
      </c>
      <c r="BK95" t="inlineStr">
        <is>
          <t>Other</t>
        </is>
      </c>
      <c r="BL95" t="inlineStr">
        <is>
          <t>Still not married. Will be screen before marriage</t>
        </is>
      </c>
      <c r="BM95" t="inlineStr">
        <is>
          <t>Other</t>
        </is>
      </c>
      <c r="BN95" t="inlineStr">
        <is>
          <t>Still not married. Will be screen before marriage</t>
        </is>
      </c>
      <c r="BP95" t="inlineStr">
        <is>
          <t xml:space="preserve">Agree </t>
        </is>
      </c>
      <c r="BQ95" t="inlineStr">
        <is>
          <t xml:space="preserve">Yes </t>
        </is>
      </c>
      <c r="BS95" t="inlineStr">
        <is>
          <t>Some</t>
        </is>
      </c>
      <c r="BT95" t="inlineStr">
        <is>
          <t>None</t>
        </is>
      </c>
      <c r="BU95" t="inlineStr">
        <is>
          <t>None</t>
        </is>
      </c>
      <c r="BV95" t="inlineStr">
        <is>
          <t>Lack of knowledge  Perception that screening was unnecessary</t>
        </is>
      </c>
      <c r="BW95" t="n">
        <v>1</v>
      </c>
      <c r="BX95" t="n">
        <v>0</v>
      </c>
      <c r="BY95" t="n">
        <v>0</v>
      </c>
      <c r="BZ95" t="n">
        <v>1</v>
      </c>
      <c r="CA95" t="n">
        <v>0</v>
      </c>
      <c r="CB95" t="n">
        <v>0</v>
      </c>
      <c r="CD95" t="inlineStr">
        <is>
          <t xml:space="preserve">Somewhat easy </t>
        </is>
      </c>
      <c r="CE95" t="inlineStr">
        <is>
          <t xml:space="preserve"> Very important</t>
        </is>
      </c>
      <c r="CF95" t="n">
        <v>596429487</v>
      </c>
      <c r="CG95" t="inlineStr">
        <is>
          <t>e39bf9ff-341b-4117-809b-1330611d037d</t>
        </is>
      </c>
      <c r="CH95" s="1" t="n">
        <v>45963.54109953704</v>
      </c>
      <c r="CK95" t="inlineStr">
        <is>
          <t>submitted_via_web</t>
        </is>
      </c>
      <c r="CM95" t="inlineStr">
        <is>
          <t>vteYUDpqfKnk39PHFZkvPS</t>
        </is>
      </c>
      <c r="CO95" t="inlineStr">
        <is>
          <t>uuid:e39bf9ff-341b-4117-809b-1330611d037d</t>
        </is>
      </c>
      <c r="CP95" t="n">
        <v>94</v>
      </c>
      <c r="CQ95" t="n">
        <v>3</v>
      </c>
      <c r="CR95" t="n">
        <v>-0.3165225292847399</v>
      </c>
    </row>
    <row r="96">
      <c r="A96" s="1" t="n">
        <v>45963.77013025463</v>
      </c>
      <c r="B96" s="1" t="n">
        <v>45963.79975020833</v>
      </c>
      <c r="D96" t="inlineStr">
        <is>
          <t>15</t>
        </is>
      </c>
      <c r="E96" t="inlineStr">
        <is>
          <t>Female</t>
        </is>
      </c>
      <c r="F96" t="inlineStr">
        <is>
          <t>Sinhalese</t>
        </is>
      </c>
      <c r="H96" t="inlineStr">
        <is>
          <t>Buddhist</t>
        </is>
      </c>
      <c r="J96" t="inlineStr">
        <is>
          <t>Not employed</t>
        </is>
      </c>
      <c r="M96" t="inlineStr">
        <is>
          <t>Eastern</t>
        </is>
      </c>
      <c r="N96" t="inlineStr">
        <is>
          <t>Single</t>
        </is>
      </c>
      <c r="P96" t="inlineStr">
        <is>
          <t>No</t>
        </is>
      </c>
      <c r="S96" t="inlineStr">
        <is>
          <t>During community screening</t>
        </is>
      </c>
      <c r="U96" t="inlineStr">
        <is>
          <t>Yes</t>
        </is>
      </c>
      <c r="V96" t="inlineStr">
        <is>
          <t>Thalassemia major (severe form)   Thalassemia minor or trait (carrier form)</t>
        </is>
      </c>
      <c r="W96" t="n">
        <v>1</v>
      </c>
      <c r="X96" t="n">
        <v>1</v>
      </c>
      <c r="Y96" t="n">
        <v>0</v>
      </c>
      <c r="Z96" t="n">
        <v>0</v>
      </c>
      <c r="AA96" t="inlineStr">
        <is>
          <t xml:space="preserve">Thalassemia major (severe form)  </t>
        </is>
      </c>
      <c r="AB96" t="n">
        <v>1</v>
      </c>
      <c r="AC96" t="n">
        <v>0</v>
      </c>
      <c r="AD96" t="n">
        <v>0</v>
      </c>
      <c r="AE96" t="n">
        <v>0</v>
      </c>
      <c r="AF96" t="inlineStr">
        <is>
          <t>Thalassemia minor or trait (carrier form)</t>
        </is>
      </c>
      <c r="AG96" t="n">
        <v>0</v>
      </c>
      <c r="AH96" t="n">
        <v>1</v>
      </c>
      <c r="AI96" t="n">
        <v>0</v>
      </c>
      <c r="AJ96" t="n">
        <v>0</v>
      </c>
      <c r="AK96" t="inlineStr">
        <is>
          <t>Don’t know</t>
        </is>
      </c>
      <c r="AL96" t="inlineStr">
        <is>
          <t xml:space="preserve">Cannot be cured   </t>
        </is>
      </c>
      <c r="AM96" t="inlineStr">
        <is>
          <t>Cannot be prevented</t>
        </is>
      </c>
      <c r="AN96" t="inlineStr">
        <is>
          <t xml:space="preserve">From generation to generation (hereditary)  </t>
        </is>
      </c>
      <c r="AO96" t="inlineStr">
        <is>
          <t>Healthy</t>
        </is>
      </c>
      <c r="AP96" t="inlineStr">
        <is>
          <t xml:space="preserve">Has a chance to be affected (e.g., 25%) </t>
        </is>
      </c>
      <c r="AQ96" t="inlineStr">
        <is>
          <t>No</t>
        </is>
      </c>
      <c r="AR96" t="inlineStr">
        <is>
          <t>Don’t know</t>
        </is>
      </c>
      <c r="AS96" t="inlineStr">
        <is>
          <t xml:space="preserve">Regular blood transfusions for life </t>
        </is>
      </c>
      <c r="AT96" t="n">
        <v>1</v>
      </c>
      <c r="AU96" t="n">
        <v>0</v>
      </c>
      <c r="AV96" t="n">
        <v>0</v>
      </c>
      <c r="AW96" t="n">
        <v>0</v>
      </c>
      <c r="AX96" t="n">
        <v>0</v>
      </c>
      <c r="AY96" t="n">
        <v>0</v>
      </c>
      <c r="AZ96" t="n">
        <v>0</v>
      </c>
      <c r="BA96" t="n">
        <v>0</v>
      </c>
      <c r="BB96" t="inlineStr">
        <is>
          <t xml:space="preserve"> Get the partner tested before marriage   Get family members tested </t>
        </is>
      </c>
      <c r="BC96" t="n">
        <v>1</v>
      </c>
      <c r="BD96" t="n">
        <v>1</v>
      </c>
      <c r="BE96" t="n">
        <v>0</v>
      </c>
      <c r="BF96" t="n">
        <v>0</v>
      </c>
      <c r="BG96" t="inlineStr">
        <is>
          <t>Only found out after screening</t>
        </is>
      </c>
      <c r="BH96" t="inlineStr">
        <is>
          <t>Definitely not</t>
        </is>
      </c>
      <c r="BI96" t="inlineStr">
        <is>
          <t xml:space="preserve">No </t>
        </is>
      </c>
      <c r="BJ96" t="inlineStr">
        <is>
          <t xml:space="preserve">Very important </t>
        </is>
      </c>
      <c r="BK96" t="inlineStr">
        <is>
          <t>Other</t>
        </is>
      </c>
      <c r="BL96" t="inlineStr">
        <is>
          <t>Still not married. Will be screen before marriage</t>
        </is>
      </c>
      <c r="BM96" t="inlineStr">
        <is>
          <t>Other</t>
        </is>
      </c>
      <c r="BN96" t="inlineStr">
        <is>
          <t>Still not married. Will be screen before marriage</t>
        </is>
      </c>
      <c r="BP96" t="inlineStr">
        <is>
          <t xml:space="preserve">Agree </t>
        </is>
      </c>
      <c r="BQ96" t="inlineStr">
        <is>
          <t xml:space="preserve">Yes </t>
        </is>
      </c>
      <c r="BS96" t="inlineStr">
        <is>
          <t>All</t>
        </is>
      </c>
      <c r="BT96" t="inlineStr">
        <is>
          <t>None</t>
        </is>
      </c>
      <c r="BU96" t="inlineStr">
        <is>
          <t>None</t>
        </is>
      </c>
      <c r="BV96" t="inlineStr">
        <is>
          <t xml:space="preserve">Lack of knowledge </t>
        </is>
      </c>
      <c r="BW96" t="n">
        <v>1</v>
      </c>
      <c r="BX96" t="n">
        <v>0</v>
      </c>
      <c r="BY96" t="n">
        <v>0</v>
      </c>
      <c r="BZ96" t="n">
        <v>0</v>
      </c>
      <c r="CA96" t="n">
        <v>0</v>
      </c>
      <c r="CB96" t="n">
        <v>0</v>
      </c>
      <c r="CD96" t="inlineStr">
        <is>
          <t xml:space="preserve">Somewhat easy </t>
        </is>
      </c>
      <c r="CE96" t="inlineStr">
        <is>
          <t xml:space="preserve"> Very important</t>
        </is>
      </c>
      <c r="CF96" t="n">
        <v>596450992</v>
      </c>
      <c r="CG96" t="inlineStr">
        <is>
          <t>d95fbf41-b57a-435a-a34d-e400103db56b</t>
        </is>
      </c>
      <c r="CH96" s="1" t="n">
        <v>45963.57060185185</v>
      </c>
      <c r="CK96" t="inlineStr">
        <is>
          <t>submitted_via_web</t>
        </is>
      </c>
      <c r="CM96" t="inlineStr">
        <is>
          <t>vteYUDpqfKnk39PHFZkvPS</t>
        </is>
      </c>
      <c r="CO96" t="inlineStr">
        <is>
          <t>uuid:d95fbf41-b57a-435a-a34d-e400103db56b</t>
        </is>
      </c>
      <c r="CP96" t="n">
        <v>95</v>
      </c>
      <c r="CQ96" t="n">
        <v>3</v>
      </c>
      <c r="CR96" t="n">
        <v>-0.3165225292847399</v>
      </c>
    </row>
    <row r="97">
      <c r="A97" s="1" t="n">
        <v>45963.79975172454</v>
      </c>
      <c r="B97" s="1" t="n">
        <v>45963.84309359953</v>
      </c>
      <c r="D97" t="inlineStr">
        <is>
          <t>24</t>
        </is>
      </c>
      <c r="E97" t="inlineStr">
        <is>
          <t xml:space="preserve">Male </t>
        </is>
      </c>
      <c r="F97" t="inlineStr">
        <is>
          <t>Sinhalese</t>
        </is>
      </c>
      <c r="H97" t="inlineStr">
        <is>
          <t>Buddhist</t>
        </is>
      </c>
      <c r="J97" t="inlineStr">
        <is>
          <t>Private sector</t>
        </is>
      </c>
      <c r="K97" t="inlineStr">
        <is>
          <t>51,000 – 100,000</t>
        </is>
      </c>
      <c r="L97" t="inlineStr">
        <is>
          <t xml:space="preserve">Up to A/L </t>
        </is>
      </c>
      <c r="M97" t="inlineStr">
        <is>
          <t>Western</t>
        </is>
      </c>
      <c r="N97" t="inlineStr">
        <is>
          <t>Single</t>
        </is>
      </c>
      <c r="P97" t="inlineStr">
        <is>
          <t>No</t>
        </is>
      </c>
      <c r="S97" t="inlineStr">
        <is>
          <t xml:space="preserve">During school/university  </t>
        </is>
      </c>
      <c r="U97" t="inlineStr">
        <is>
          <t>Yes</t>
        </is>
      </c>
      <c r="V97" t="inlineStr">
        <is>
          <t>Thalassemia major (severe form)   Thalassemia minor or trait (carrier form)</t>
        </is>
      </c>
      <c r="W97" t="n">
        <v>1</v>
      </c>
      <c r="X97" t="n">
        <v>1</v>
      </c>
      <c r="Y97" t="n">
        <v>0</v>
      </c>
      <c r="Z97" t="n">
        <v>0</v>
      </c>
      <c r="AA97" t="inlineStr">
        <is>
          <t>Thalassemia minor or trait (carrier form)</t>
        </is>
      </c>
      <c r="AB97" t="n">
        <v>0</v>
      </c>
      <c r="AC97" t="n">
        <v>1</v>
      </c>
      <c r="AD97" t="n">
        <v>0</v>
      </c>
      <c r="AE97" t="n">
        <v>0</v>
      </c>
      <c r="AF97" t="inlineStr">
        <is>
          <t>Thalassemia minor or trait (carrier form)</t>
        </is>
      </c>
      <c r="AG97" t="n">
        <v>0</v>
      </c>
      <c r="AH97" t="n">
        <v>1</v>
      </c>
      <c r="AI97" t="n">
        <v>0</v>
      </c>
      <c r="AJ97" t="n">
        <v>0</v>
      </c>
      <c r="AK97" t="inlineStr">
        <is>
          <t>Don’t know</t>
        </is>
      </c>
      <c r="AL97" t="inlineStr">
        <is>
          <t xml:space="preserve">Cannot be cured   </t>
        </is>
      </c>
      <c r="AM97" t="inlineStr">
        <is>
          <t xml:space="preserve">Can be prevented </t>
        </is>
      </c>
      <c r="AN97" t="inlineStr">
        <is>
          <t xml:space="preserve">From generation to generation (hereditary)  </t>
        </is>
      </c>
      <c r="AO97" t="inlineStr">
        <is>
          <t>Healthy</t>
        </is>
      </c>
      <c r="AP97" t="inlineStr">
        <is>
          <t xml:space="preserve">Has a chance to be affected (e.g., 25%) </t>
        </is>
      </c>
      <c r="AQ97" t="inlineStr">
        <is>
          <t xml:space="preserve">Yes </t>
        </is>
      </c>
      <c r="AR97" t="inlineStr">
        <is>
          <t>Don’t know</t>
        </is>
      </c>
      <c r="AS97" t="inlineStr">
        <is>
          <t xml:space="preserve">Regular blood transfusions for life </t>
        </is>
      </c>
      <c r="AT97" t="n">
        <v>1</v>
      </c>
      <c r="AU97" t="n">
        <v>0</v>
      </c>
      <c r="AV97" t="n">
        <v>0</v>
      </c>
      <c r="AW97" t="n">
        <v>0</v>
      </c>
      <c r="AX97" t="n">
        <v>0</v>
      </c>
      <c r="AY97" t="n">
        <v>0</v>
      </c>
      <c r="AZ97" t="n">
        <v>0</v>
      </c>
      <c r="BA97" t="n">
        <v>0</v>
      </c>
      <c r="BB97" t="inlineStr">
        <is>
          <t xml:space="preserve"> Get the partner tested before marriage   Get family members tested </t>
        </is>
      </c>
      <c r="BC97" t="n">
        <v>1</v>
      </c>
      <c r="BD97" t="n">
        <v>1</v>
      </c>
      <c r="BE97" t="n">
        <v>0</v>
      </c>
      <c r="BF97" t="n">
        <v>0</v>
      </c>
      <c r="BG97" t="inlineStr">
        <is>
          <t>Only found out after screening</t>
        </is>
      </c>
      <c r="BH97" t="inlineStr">
        <is>
          <t>Definitely not</t>
        </is>
      </c>
      <c r="BI97" t="inlineStr">
        <is>
          <t xml:space="preserve">Yes </t>
        </is>
      </c>
      <c r="BJ97" t="inlineStr">
        <is>
          <t xml:space="preserve">Very important </t>
        </is>
      </c>
      <c r="BK97" t="inlineStr">
        <is>
          <t>Other</t>
        </is>
      </c>
      <c r="BL97" t="inlineStr">
        <is>
          <t>Still not married. Will be screen before marriage</t>
        </is>
      </c>
      <c r="BM97" t="inlineStr">
        <is>
          <t>Other</t>
        </is>
      </c>
      <c r="BN97" t="inlineStr">
        <is>
          <t>Still not married. Will be screen before marriage</t>
        </is>
      </c>
      <c r="BP97" t="inlineStr">
        <is>
          <t xml:space="preserve">Agree </t>
        </is>
      </c>
      <c r="BQ97" t="inlineStr">
        <is>
          <t xml:space="preserve">Yes </t>
        </is>
      </c>
      <c r="BS97" t="inlineStr">
        <is>
          <t>Some</t>
        </is>
      </c>
      <c r="BT97" t="inlineStr">
        <is>
          <t>None</t>
        </is>
      </c>
      <c r="BU97" t="inlineStr">
        <is>
          <t>None</t>
        </is>
      </c>
      <c r="BV97" t="inlineStr">
        <is>
          <t>Lack of knowledge  Perception that screening was unnecessary</t>
        </is>
      </c>
      <c r="BW97" t="n">
        <v>1</v>
      </c>
      <c r="BX97" t="n">
        <v>0</v>
      </c>
      <c r="BY97" t="n">
        <v>0</v>
      </c>
      <c r="BZ97" t="n">
        <v>1</v>
      </c>
      <c r="CA97" t="n">
        <v>0</v>
      </c>
      <c r="CB97" t="n">
        <v>0</v>
      </c>
      <c r="CD97" t="inlineStr">
        <is>
          <t xml:space="preserve">Somewhat easy </t>
        </is>
      </c>
      <c r="CE97" t="inlineStr">
        <is>
          <t xml:space="preserve"> Very important</t>
        </is>
      </c>
      <c r="CF97" t="n">
        <v>596481517</v>
      </c>
      <c r="CG97" t="inlineStr">
        <is>
          <t>fd1572c0-e6eb-45b5-8922-ec1026d3add9</t>
        </is>
      </c>
      <c r="CH97" s="1" t="n">
        <v>45963.61394675926</v>
      </c>
      <c r="CK97" t="inlineStr">
        <is>
          <t>submitted_via_web</t>
        </is>
      </c>
      <c r="CM97" t="inlineStr">
        <is>
          <t>vteYUDpqfKnk39PHFZkvPS</t>
        </is>
      </c>
      <c r="CO97" t="inlineStr">
        <is>
          <t>uuid:fd1572c0-e6eb-45b5-8922-ec1026d3add9</t>
        </is>
      </c>
      <c r="CP97" t="n">
        <v>96</v>
      </c>
      <c r="CQ97" t="n">
        <v>3</v>
      </c>
      <c r="CR97" t="n">
        <v>-0.3165225292847399</v>
      </c>
    </row>
    <row r="98">
      <c r="A98" s="1" t="n">
        <v>45963.84336333333</v>
      </c>
      <c r="B98" s="1" t="n">
        <v>45963.84989877315</v>
      </c>
      <c r="D98" t="inlineStr">
        <is>
          <t>39</t>
        </is>
      </c>
      <c r="E98" t="inlineStr">
        <is>
          <t>Female</t>
        </is>
      </c>
      <c r="F98" t="inlineStr">
        <is>
          <t>Sinhalese</t>
        </is>
      </c>
      <c r="H98" t="inlineStr">
        <is>
          <t>Buddhist</t>
        </is>
      </c>
      <c r="J98" t="inlineStr">
        <is>
          <t>Not employed</t>
        </is>
      </c>
      <c r="K98" t="inlineStr">
        <is>
          <t>&lt; 25,000</t>
        </is>
      </c>
      <c r="L98" t="inlineStr">
        <is>
          <t xml:space="preserve">Up to O/L </t>
        </is>
      </c>
      <c r="M98" t="inlineStr">
        <is>
          <t xml:space="preserve">North Central </t>
        </is>
      </c>
      <c r="N98" t="inlineStr">
        <is>
          <t xml:space="preserve">Married </t>
        </is>
      </c>
      <c r="O98" t="inlineStr">
        <is>
          <t xml:space="preserve">Yes, only one child </t>
        </is>
      </c>
      <c r="P98" t="inlineStr">
        <is>
          <t>No</t>
        </is>
      </c>
      <c r="R98" s="1" t="n">
        <v>45219</v>
      </c>
      <c r="S98" t="inlineStr">
        <is>
          <t>Individual or family screening after a relative was diagnosed</t>
        </is>
      </c>
      <c r="U98" t="inlineStr">
        <is>
          <t>Yes</t>
        </is>
      </c>
      <c r="V98" t="inlineStr">
        <is>
          <t>Thalassemia major (severe form)   Thalassemia minor or trait (carrier form)</t>
        </is>
      </c>
      <c r="W98" t="n">
        <v>1</v>
      </c>
      <c r="X98" t="n">
        <v>1</v>
      </c>
      <c r="Y98" t="n">
        <v>0</v>
      </c>
      <c r="Z98" t="n">
        <v>0</v>
      </c>
      <c r="AA98" t="inlineStr">
        <is>
          <t xml:space="preserve">Thalassemia major (severe form)  </t>
        </is>
      </c>
      <c r="AB98" t="n">
        <v>1</v>
      </c>
      <c r="AC98" t="n">
        <v>0</v>
      </c>
      <c r="AD98" t="n">
        <v>0</v>
      </c>
      <c r="AE98" t="n">
        <v>0</v>
      </c>
      <c r="AF98" t="inlineStr">
        <is>
          <t>Thalassemia minor or trait (carrier form)</t>
        </is>
      </c>
      <c r="AG98" t="n">
        <v>0</v>
      </c>
      <c r="AH98" t="n">
        <v>1</v>
      </c>
      <c r="AI98" t="n">
        <v>0</v>
      </c>
      <c r="AJ98" t="n">
        <v>0</v>
      </c>
      <c r="AK98" t="inlineStr">
        <is>
          <t>Yes</t>
        </is>
      </c>
      <c r="AL98" t="inlineStr">
        <is>
          <t xml:space="preserve">Cannot be cured   </t>
        </is>
      </c>
      <c r="AM98" t="inlineStr">
        <is>
          <t xml:space="preserve">Can be prevented </t>
        </is>
      </c>
      <c r="AN98" t="inlineStr">
        <is>
          <t xml:space="preserve">From generation to generation (hereditary)  </t>
        </is>
      </c>
      <c r="AO98" t="inlineStr">
        <is>
          <t>Healthy</t>
        </is>
      </c>
      <c r="AP98" t="inlineStr">
        <is>
          <t>Always affected by thalassemia</t>
        </is>
      </c>
      <c r="AQ98" t="inlineStr">
        <is>
          <t xml:space="preserve">Yes </t>
        </is>
      </c>
      <c r="AR98" t="inlineStr">
        <is>
          <t>Don’t know</t>
        </is>
      </c>
      <c r="AS98" t="inlineStr">
        <is>
          <t>Regular blood transfusions for life  Iron overload affecting heart and liver  Risk of infections from transfusions Bone deformities</t>
        </is>
      </c>
      <c r="AT98" t="n">
        <v>1</v>
      </c>
      <c r="AU98" t="n">
        <v>1</v>
      </c>
      <c r="AV98" t="n">
        <v>0</v>
      </c>
      <c r="AW98" t="n">
        <v>0</v>
      </c>
      <c r="AX98" t="n">
        <v>1</v>
      </c>
      <c r="AY98" t="n">
        <v>0</v>
      </c>
      <c r="AZ98" t="n">
        <v>0</v>
      </c>
      <c r="BA98" t="n">
        <v>1</v>
      </c>
      <c r="BB98" t="inlineStr">
        <is>
          <t xml:space="preserve"> Get the partner tested before marriage   Get family members tested </t>
        </is>
      </c>
      <c r="BC98" t="n">
        <v>1</v>
      </c>
      <c r="BD98" t="n">
        <v>1</v>
      </c>
      <c r="BE98" t="n">
        <v>0</v>
      </c>
      <c r="BF98" t="n">
        <v>0</v>
      </c>
      <c r="BG98" t="inlineStr">
        <is>
          <t>Only found out after screening</t>
        </is>
      </c>
      <c r="BH98" t="inlineStr">
        <is>
          <t xml:space="preserve">Yes I have </t>
        </is>
      </c>
      <c r="BI98" t="inlineStr">
        <is>
          <t xml:space="preserve">No </t>
        </is>
      </c>
      <c r="BJ98" t="inlineStr">
        <is>
          <t xml:space="preserve">Important </t>
        </is>
      </c>
      <c r="BK98" t="inlineStr">
        <is>
          <t xml:space="preserve"> Partner was screened after marriage </t>
        </is>
      </c>
      <c r="BM98" t="inlineStr">
        <is>
          <t>Other</t>
        </is>
      </c>
      <c r="BN98" t="inlineStr">
        <is>
          <t>Did screening after marriage</t>
        </is>
      </c>
      <c r="BP98" t="inlineStr">
        <is>
          <t xml:space="preserve">Agree </t>
        </is>
      </c>
      <c r="BQ98" t="inlineStr">
        <is>
          <t xml:space="preserve">Yes </t>
        </is>
      </c>
      <c r="BS98" t="inlineStr">
        <is>
          <t>All</t>
        </is>
      </c>
      <c r="BT98" t="inlineStr">
        <is>
          <t>Some</t>
        </is>
      </c>
      <c r="BU98" t="inlineStr">
        <is>
          <t>Don't know</t>
        </is>
      </c>
      <c r="BV98" t="inlineStr">
        <is>
          <t>Lack of knowledge  Concern about stigma or discrimination Fear of result</t>
        </is>
      </c>
      <c r="BW98" t="n">
        <v>1</v>
      </c>
      <c r="BX98" t="n">
        <v>1</v>
      </c>
      <c r="BY98" t="n">
        <v>1</v>
      </c>
      <c r="BZ98" t="n">
        <v>0</v>
      </c>
      <c r="CA98" t="n">
        <v>0</v>
      </c>
      <c r="CB98" t="n">
        <v>0</v>
      </c>
      <c r="CD98" t="inlineStr">
        <is>
          <t xml:space="preserve">Difficult </t>
        </is>
      </c>
      <c r="CE98" t="inlineStr">
        <is>
          <t xml:space="preserve"> Very important</t>
        </is>
      </c>
      <c r="CF98" t="n">
        <v>596486780</v>
      </c>
      <c r="CG98" t="inlineStr">
        <is>
          <t>7f2f9929-7529-4e95-9167-f8d8f94051ee</t>
        </is>
      </c>
      <c r="CH98" s="1" t="n">
        <v>45963.62074074074</v>
      </c>
      <c r="CK98" t="inlineStr">
        <is>
          <t>submitted_via_web</t>
        </is>
      </c>
      <c r="CM98" t="inlineStr">
        <is>
          <t>vteYUDpqfKnk39PHFZkvPS</t>
        </is>
      </c>
      <c r="CO98" t="inlineStr">
        <is>
          <t>uuid:7f2f9929-7529-4e95-9167-f8d8f94051ee</t>
        </is>
      </c>
      <c r="CP98" t="n">
        <v>97</v>
      </c>
      <c r="CQ98" t="n">
        <v>6</v>
      </c>
      <c r="CR98" t="n">
        <v>0.8544166434680093</v>
      </c>
    </row>
    <row r="99">
      <c r="A99" s="1" t="n">
        <v>45963.85340311343</v>
      </c>
      <c r="B99" s="1" t="n">
        <v>45963.86194135417</v>
      </c>
      <c r="D99" t="inlineStr">
        <is>
          <t>26</t>
        </is>
      </c>
      <c r="E99" t="inlineStr">
        <is>
          <t xml:space="preserve">Male </t>
        </is>
      </c>
      <c r="F99" t="inlineStr">
        <is>
          <t>Sinhalese</t>
        </is>
      </c>
      <c r="H99" t="inlineStr">
        <is>
          <t>Buddhist</t>
        </is>
      </c>
      <c r="J99" t="inlineStr">
        <is>
          <t>Private sector</t>
        </is>
      </c>
      <c r="K99" t="inlineStr">
        <is>
          <t>25,000 – 50,000</t>
        </is>
      </c>
      <c r="L99" t="inlineStr">
        <is>
          <t xml:space="preserve">Up to A/L </t>
        </is>
      </c>
      <c r="M99" t="inlineStr">
        <is>
          <t>Eastern</t>
        </is>
      </c>
      <c r="N99" t="inlineStr">
        <is>
          <t>Single</t>
        </is>
      </c>
      <c r="P99" t="inlineStr">
        <is>
          <t>No</t>
        </is>
      </c>
      <c r="S99" t="inlineStr">
        <is>
          <t>During community screening</t>
        </is>
      </c>
      <c r="U99" t="inlineStr">
        <is>
          <t>Yes</t>
        </is>
      </c>
      <c r="V99" t="inlineStr">
        <is>
          <t>Thalassemia major (severe form)   Thalassemia minor or trait (carrier form)</t>
        </is>
      </c>
      <c r="W99" t="n">
        <v>1</v>
      </c>
      <c r="X99" t="n">
        <v>1</v>
      </c>
      <c r="Y99" t="n">
        <v>0</v>
      </c>
      <c r="Z99" t="n">
        <v>0</v>
      </c>
      <c r="AA99" t="inlineStr">
        <is>
          <t xml:space="preserve">Thalassemia major (severe form)  </t>
        </is>
      </c>
      <c r="AB99" t="n">
        <v>1</v>
      </c>
      <c r="AC99" t="n">
        <v>0</v>
      </c>
      <c r="AD99" t="n">
        <v>0</v>
      </c>
      <c r="AE99" t="n">
        <v>0</v>
      </c>
      <c r="AF99" t="inlineStr">
        <is>
          <t>Thalassemia minor or trait (carrier form)</t>
        </is>
      </c>
      <c r="AG99" t="n">
        <v>0</v>
      </c>
      <c r="AH99" t="n">
        <v>1</v>
      </c>
      <c r="AI99" t="n">
        <v>0</v>
      </c>
      <c r="AJ99" t="n">
        <v>0</v>
      </c>
      <c r="AK99" t="inlineStr">
        <is>
          <t>Yes</t>
        </is>
      </c>
      <c r="AL99" t="inlineStr">
        <is>
          <t>Don’t know</t>
        </is>
      </c>
      <c r="AM99" t="inlineStr">
        <is>
          <t xml:space="preserve">Can be prevented </t>
        </is>
      </c>
      <c r="AN99" t="inlineStr">
        <is>
          <t xml:space="preserve">From generation to generation (hereditary)  </t>
        </is>
      </c>
      <c r="AO99" t="inlineStr">
        <is>
          <t>Healthy</t>
        </is>
      </c>
      <c r="AP99" t="inlineStr">
        <is>
          <t xml:space="preserve">Has a chance to be affected (e.g., 25%) </t>
        </is>
      </c>
      <c r="AQ99" t="inlineStr">
        <is>
          <t xml:space="preserve">Yes </t>
        </is>
      </c>
      <c r="AR99" t="inlineStr">
        <is>
          <t>Don’t know</t>
        </is>
      </c>
      <c r="AS99" t="inlineStr">
        <is>
          <t xml:space="preserve">Regular blood transfusions for life </t>
        </is>
      </c>
      <c r="AT99" t="n">
        <v>1</v>
      </c>
      <c r="AU99" t="n">
        <v>0</v>
      </c>
      <c r="AV99" t="n">
        <v>0</v>
      </c>
      <c r="AW99" t="n">
        <v>0</v>
      </c>
      <c r="AX99" t="n">
        <v>0</v>
      </c>
      <c r="AY99" t="n">
        <v>0</v>
      </c>
      <c r="AZ99" t="n">
        <v>0</v>
      </c>
      <c r="BA99" t="n">
        <v>0</v>
      </c>
      <c r="BB99" t="inlineStr">
        <is>
          <t xml:space="preserve"> Get the partner tested before marriage   Get family members tested </t>
        </is>
      </c>
      <c r="BC99" t="n">
        <v>1</v>
      </c>
      <c r="BD99" t="n">
        <v>1</v>
      </c>
      <c r="BE99" t="n">
        <v>0</v>
      </c>
      <c r="BF99" t="n">
        <v>0</v>
      </c>
      <c r="BG99" t="inlineStr">
        <is>
          <t>Only found out after screening</t>
        </is>
      </c>
      <c r="BH99" t="inlineStr">
        <is>
          <t>Definitely not</t>
        </is>
      </c>
      <c r="BI99" t="inlineStr">
        <is>
          <t xml:space="preserve">No </t>
        </is>
      </c>
      <c r="BJ99" t="inlineStr">
        <is>
          <t xml:space="preserve">Very important </t>
        </is>
      </c>
      <c r="BK99" t="inlineStr">
        <is>
          <t>Other</t>
        </is>
      </c>
      <c r="BL99" t="inlineStr">
        <is>
          <t>Still not married. Will be screen before marriage</t>
        </is>
      </c>
      <c r="BM99" t="inlineStr">
        <is>
          <t>Other</t>
        </is>
      </c>
      <c r="BN99" t="inlineStr">
        <is>
          <t>Still not married. Will be screen before marriage</t>
        </is>
      </c>
      <c r="BP99" t="inlineStr">
        <is>
          <t xml:space="preserve">Agree </t>
        </is>
      </c>
      <c r="BQ99" t="inlineStr">
        <is>
          <t xml:space="preserve">Yes </t>
        </is>
      </c>
      <c r="BS99" t="inlineStr">
        <is>
          <t>Some</t>
        </is>
      </c>
      <c r="BT99" t="inlineStr">
        <is>
          <t>None</t>
        </is>
      </c>
      <c r="BU99" t="inlineStr">
        <is>
          <t>None</t>
        </is>
      </c>
      <c r="BV99" t="inlineStr">
        <is>
          <t xml:space="preserve">Lack of knowledge </t>
        </is>
      </c>
      <c r="BW99" t="n">
        <v>1</v>
      </c>
      <c r="BX99" t="n">
        <v>0</v>
      </c>
      <c r="BY99" t="n">
        <v>0</v>
      </c>
      <c r="BZ99" t="n">
        <v>0</v>
      </c>
      <c r="CA99" t="n">
        <v>0</v>
      </c>
      <c r="CB99" t="n">
        <v>0</v>
      </c>
      <c r="CD99" t="inlineStr">
        <is>
          <t xml:space="preserve">Somewhat easy </t>
        </is>
      </c>
      <c r="CE99" t="inlineStr">
        <is>
          <t xml:space="preserve"> Very important</t>
        </is>
      </c>
      <c r="CF99" t="n">
        <v>596493949</v>
      </c>
      <c r="CG99" t="inlineStr">
        <is>
          <t>ccf134a7-d41e-46e9-95c9-9dcf12ba223d</t>
        </is>
      </c>
      <c r="CH99" s="1" t="n">
        <v>45963.63278935185</v>
      </c>
      <c r="CK99" t="inlineStr">
        <is>
          <t>submitted_via_web</t>
        </is>
      </c>
      <c r="CM99" t="inlineStr">
        <is>
          <t>vteYUDpqfKnk39PHFZkvPS</t>
        </is>
      </c>
      <c r="CO99" t="inlineStr">
        <is>
          <t>uuid:ccf134a7-d41e-46e9-95c9-9dcf12ba223d</t>
        </is>
      </c>
      <c r="CP99" t="n">
        <v>98</v>
      </c>
      <c r="CQ99" t="n">
        <v>3</v>
      </c>
      <c r="CR99" t="n">
        <v>-0.3165225292847399</v>
      </c>
    </row>
    <row r="100">
      <c r="A100" s="1" t="n">
        <v>45963.86194303241</v>
      </c>
      <c r="B100" s="1" t="n">
        <v>45963.86462614583</v>
      </c>
      <c r="D100" t="inlineStr">
        <is>
          <t>19</t>
        </is>
      </c>
      <c r="E100" t="inlineStr">
        <is>
          <t>Female</t>
        </is>
      </c>
      <c r="F100" t="inlineStr">
        <is>
          <t>Sinhalese</t>
        </is>
      </c>
      <c r="H100" t="inlineStr">
        <is>
          <t>Buddhist</t>
        </is>
      </c>
      <c r="J100" t="inlineStr">
        <is>
          <t>Not employed</t>
        </is>
      </c>
      <c r="L100" t="inlineStr">
        <is>
          <t xml:space="preserve">Up to O/L </t>
        </is>
      </c>
      <c r="M100" t="inlineStr">
        <is>
          <t>Eastern</t>
        </is>
      </c>
      <c r="N100" t="inlineStr">
        <is>
          <t>Single</t>
        </is>
      </c>
      <c r="P100" t="inlineStr">
        <is>
          <t>No</t>
        </is>
      </c>
      <c r="S100" t="inlineStr">
        <is>
          <t>During community screening</t>
        </is>
      </c>
      <c r="U100" t="inlineStr">
        <is>
          <t>Yes</t>
        </is>
      </c>
      <c r="V100" t="inlineStr">
        <is>
          <t>Thalassemia major (severe form)   Thalassemia minor or trait (carrier form)</t>
        </is>
      </c>
      <c r="W100" t="n">
        <v>1</v>
      </c>
      <c r="X100" t="n">
        <v>1</v>
      </c>
      <c r="Y100" t="n">
        <v>0</v>
      </c>
      <c r="Z100" t="n">
        <v>0</v>
      </c>
      <c r="AA100" t="inlineStr">
        <is>
          <t xml:space="preserve">Thalassemia major (severe form)  </t>
        </is>
      </c>
      <c r="AB100" t="n">
        <v>1</v>
      </c>
      <c r="AC100" t="n">
        <v>0</v>
      </c>
      <c r="AD100" t="n">
        <v>0</v>
      </c>
      <c r="AE100" t="n">
        <v>0</v>
      </c>
      <c r="AF100" t="inlineStr">
        <is>
          <t>Thalassemia minor or trait (carrier form)</t>
        </is>
      </c>
      <c r="AG100" t="n">
        <v>0</v>
      </c>
      <c r="AH100" t="n">
        <v>1</v>
      </c>
      <c r="AI100" t="n">
        <v>0</v>
      </c>
      <c r="AJ100" t="n">
        <v>0</v>
      </c>
      <c r="AK100" t="inlineStr">
        <is>
          <t>Yes</t>
        </is>
      </c>
      <c r="AL100" t="inlineStr">
        <is>
          <t>Can be cured with common treatments</t>
        </is>
      </c>
      <c r="AM100" t="inlineStr">
        <is>
          <t xml:space="preserve">Can be prevented </t>
        </is>
      </c>
      <c r="AN100" t="inlineStr">
        <is>
          <t xml:space="preserve">From generation to generation (hereditary)  </t>
        </is>
      </c>
      <c r="AO100" t="inlineStr">
        <is>
          <t>Healthy</t>
        </is>
      </c>
      <c r="AP100" t="inlineStr">
        <is>
          <t xml:space="preserve">Has a chance to be affected (e.g., 25%) </t>
        </is>
      </c>
      <c r="AQ100" t="inlineStr">
        <is>
          <t xml:space="preserve">Yes </t>
        </is>
      </c>
      <c r="AR100" t="inlineStr">
        <is>
          <t>Don’t know</t>
        </is>
      </c>
      <c r="AS100" t="inlineStr">
        <is>
          <t xml:space="preserve">Regular blood transfusions for life </t>
        </is>
      </c>
      <c r="AT100" t="n">
        <v>1</v>
      </c>
      <c r="AU100" t="n">
        <v>0</v>
      </c>
      <c r="AV100" t="n">
        <v>0</v>
      </c>
      <c r="AW100" t="n">
        <v>0</v>
      </c>
      <c r="AX100" t="n">
        <v>0</v>
      </c>
      <c r="AY100" t="n">
        <v>0</v>
      </c>
      <c r="AZ100" t="n">
        <v>0</v>
      </c>
      <c r="BA100" t="n">
        <v>0</v>
      </c>
      <c r="BB100" t="inlineStr">
        <is>
          <t xml:space="preserve"> Get the partner tested before marriage   Get family members tested </t>
        </is>
      </c>
      <c r="BC100" t="n">
        <v>1</v>
      </c>
      <c r="BD100" t="n">
        <v>1</v>
      </c>
      <c r="BE100" t="n">
        <v>0</v>
      </c>
      <c r="BF100" t="n">
        <v>0</v>
      </c>
      <c r="BG100" t="inlineStr">
        <is>
          <t>Only found out after screening</t>
        </is>
      </c>
      <c r="BH100" t="inlineStr">
        <is>
          <t>Definitely not</t>
        </is>
      </c>
      <c r="BI100" t="inlineStr">
        <is>
          <t xml:space="preserve">No </t>
        </is>
      </c>
      <c r="BJ100" t="inlineStr">
        <is>
          <t xml:space="preserve">Very important </t>
        </is>
      </c>
      <c r="BK100" t="inlineStr">
        <is>
          <t>Other</t>
        </is>
      </c>
      <c r="BL100" t="inlineStr">
        <is>
          <t>Still not married. Will be screen before marriage</t>
        </is>
      </c>
      <c r="BM100" t="inlineStr">
        <is>
          <t>Other</t>
        </is>
      </c>
      <c r="BN100" t="inlineStr">
        <is>
          <t>Still not married. Will be screen before marriage</t>
        </is>
      </c>
      <c r="BP100" t="inlineStr">
        <is>
          <t xml:space="preserve">Agree </t>
        </is>
      </c>
      <c r="BQ100" t="inlineStr">
        <is>
          <t xml:space="preserve">Yes </t>
        </is>
      </c>
      <c r="BS100" t="inlineStr">
        <is>
          <t>Some</t>
        </is>
      </c>
      <c r="BT100" t="inlineStr">
        <is>
          <t>None</t>
        </is>
      </c>
      <c r="BU100" t="inlineStr">
        <is>
          <t>None</t>
        </is>
      </c>
      <c r="BV100" t="inlineStr">
        <is>
          <t>Lack of knowledge  Perception that screening was unnecessary</t>
        </is>
      </c>
      <c r="BW100" t="n">
        <v>1</v>
      </c>
      <c r="BX100" t="n">
        <v>0</v>
      </c>
      <c r="BY100" t="n">
        <v>0</v>
      </c>
      <c r="BZ100" t="n">
        <v>1</v>
      </c>
      <c r="CA100" t="n">
        <v>0</v>
      </c>
      <c r="CB100" t="n">
        <v>0</v>
      </c>
      <c r="CD100" t="inlineStr">
        <is>
          <t xml:space="preserve">Somewhat easy </t>
        </is>
      </c>
      <c r="CE100" t="inlineStr">
        <is>
          <t xml:space="preserve"> Very important</t>
        </is>
      </c>
      <c r="CF100" t="n">
        <v>596495645</v>
      </c>
      <c r="CG100" t="inlineStr">
        <is>
          <t>e612ab11-e1be-488a-8619-21534054447e</t>
        </is>
      </c>
      <c r="CH100" s="1" t="n">
        <v>45963.63547453703</v>
      </c>
      <c r="CK100" t="inlineStr">
        <is>
          <t>submitted_via_web</t>
        </is>
      </c>
      <c r="CM100" t="inlineStr">
        <is>
          <t>vteYUDpqfKnk39PHFZkvPS</t>
        </is>
      </c>
      <c r="CO100" t="inlineStr">
        <is>
          <t>uuid:e612ab11-e1be-488a-8619-21534054447e</t>
        </is>
      </c>
      <c r="CP100" t="n">
        <v>99</v>
      </c>
      <c r="CQ100" t="n">
        <v>3</v>
      </c>
      <c r="CR100" t="n">
        <v>-0.3165225292847399</v>
      </c>
    </row>
    <row r="101">
      <c r="A101" s="1" t="n">
        <v>45963.86462766203</v>
      </c>
      <c r="B101" s="1" t="n">
        <v>45963.88602775463</v>
      </c>
      <c r="D101" t="inlineStr">
        <is>
          <t>33</t>
        </is>
      </c>
      <c r="E101" t="inlineStr">
        <is>
          <t xml:space="preserve">Male </t>
        </is>
      </c>
      <c r="F101" t="inlineStr">
        <is>
          <t>Sinhalese</t>
        </is>
      </c>
      <c r="H101" t="inlineStr">
        <is>
          <t>Buddhist</t>
        </is>
      </c>
      <c r="J101" t="inlineStr">
        <is>
          <t>Private sector</t>
        </is>
      </c>
      <c r="K101" t="inlineStr">
        <is>
          <t>25,000 – 50,000</t>
        </is>
      </c>
      <c r="L101" t="inlineStr">
        <is>
          <t xml:space="preserve">Up to A/L </t>
        </is>
      </c>
      <c r="M101" t="inlineStr">
        <is>
          <t>Eastern</t>
        </is>
      </c>
      <c r="N101" t="inlineStr">
        <is>
          <t xml:space="preserve">Married </t>
        </is>
      </c>
      <c r="O101" t="inlineStr">
        <is>
          <t xml:space="preserve">Yes, only one child </t>
        </is>
      </c>
      <c r="P101" t="inlineStr">
        <is>
          <t>No</t>
        </is>
      </c>
      <c r="S101" t="inlineStr">
        <is>
          <t>During community screening</t>
        </is>
      </c>
      <c r="U101" t="inlineStr">
        <is>
          <t>Yes</t>
        </is>
      </c>
      <c r="V101" t="inlineStr">
        <is>
          <t>Thalassemia major (severe form)   Thalassemia minor or trait (carrier form)</t>
        </is>
      </c>
      <c r="W101" t="n">
        <v>1</v>
      </c>
      <c r="X101" t="n">
        <v>1</v>
      </c>
      <c r="Y101" t="n">
        <v>0</v>
      </c>
      <c r="Z101" t="n">
        <v>0</v>
      </c>
      <c r="AA101" t="inlineStr">
        <is>
          <t xml:space="preserve">Thalassemia major (severe form)  </t>
        </is>
      </c>
      <c r="AB101" t="n">
        <v>1</v>
      </c>
      <c r="AC101" t="n">
        <v>0</v>
      </c>
      <c r="AD101" t="n">
        <v>0</v>
      </c>
      <c r="AE101" t="n">
        <v>0</v>
      </c>
      <c r="AF101" t="inlineStr">
        <is>
          <t>Thalassemia minor or trait (carrier form)</t>
        </is>
      </c>
      <c r="AG101" t="n">
        <v>0</v>
      </c>
      <c r="AH101" t="n">
        <v>1</v>
      </c>
      <c r="AI101" t="n">
        <v>0</v>
      </c>
      <c r="AJ101" t="n">
        <v>0</v>
      </c>
      <c r="AK101" t="inlineStr">
        <is>
          <t>Yes</t>
        </is>
      </c>
      <c r="AL101" t="inlineStr">
        <is>
          <t xml:space="preserve">Cannot be cured   </t>
        </is>
      </c>
      <c r="AM101" t="inlineStr">
        <is>
          <t xml:space="preserve">Can be prevented </t>
        </is>
      </c>
      <c r="AN101" t="inlineStr">
        <is>
          <t xml:space="preserve">From generation to generation (hereditary)  </t>
        </is>
      </c>
      <c r="AO101" t="inlineStr">
        <is>
          <t>Healthy</t>
        </is>
      </c>
      <c r="AP101" t="inlineStr">
        <is>
          <t xml:space="preserve">Has a chance to be affected (e.g., 25%) </t>
        </is>
      </c>
      <c r="AQ101" t="inlineStr">
        <is>
          <t xml:space="preserve">Yes </t>
        </is>
      </c>
      <c r="AR101" t="inlineStr">
        <is>
          <t>Don’t know</t>
        </is>
      </c>
      <c r="AS101" t="inlineStr">
        <is>
          <t xml:space="preserve">Regular blood transfusions for life </t>
        </is>
      </c>
      <c r="AT101" t="n">
        <v>1</v>
      </c>
      <c r="AU101" t="n">
        <v>0</v>
      </c>
      <c r="AV101" t="n">
        <v>0</v>
      </c>
      <c r="AW101" t="n">
        <v>0</v>
      </c>
      <c r="AX101" t="n">
        <v>0</v>
      </c>
      <c r="AY101" t="n">
        <v>0</v>
      </c>
      <c r="AZ101" t="n">
        <v>0</v>
      </c>
      <c r="BA101" t="n">
        <v>0</v>
      </c>
      <c r="BB101" t="inlineStr">
        <is>
          <t xml:space="preserve"> Get the partner tested before marriage   Get family members tested </t>
        </is>
      </c>
      <c r="BC101" t="n">
        <v>1</v>
      </c>
      <c r="BD101" t="n">
        <v>1</v>
      </c>
      <c r="BE101" t="n">
        <v>0</v>
      </c>
      <c r="BF101" t="n">
        <v>0</v>
      </c>
      <c r="BG101" t="inlineStr">
        <is>
          <t>Only found out after screening</t>
        </is>
      </c>
      <c r="BH101" t="inlineStr">
        <is>
          <t>Definitely not</t>
        </is>
      </c>
      <c r="BI101" t="inlineStr">
        <is>
          <t xml:space="preserve">No </t>
        </is>
      </c>
      <c r="BJ101" t="inlineStr">
        <is>
          <t xml:space="preserve">Very important </t>
        </is>
      </c>
      <c r="BK101" t="inlineStr">
        <is>
          <t xml:space="preserve"> Partner was screened after marriage </t>
        </is>
      </c>
      <c r="BP101" t="inlineStr">
        <is>
          <t xml:space="preserve">Agree </t>
        </is>
      </c>
      <c r="BQ101" t="inlineStr">
        <is>
          <t xml:space="preserve">Yes </t>
        </is>
      </c>
      <c r="BS101" t="inlineStr">
        <is>
          <t>Some</t>
        </is>
      </c>
      <c r="BT101" t="inlineStr">
        <is>
          <t>Don't know</t>
        </is>
      </c>
      <c r="BU101" t="inlineStr">
        <is>
          <t>Don't know</t>
        </is>
      </c>
      <c r="BV101" t="inlineStr">
        <is>
          <t>Lack of knowledge  Perception that screening was unnecessary</t>
        </is>
      </c>
      <c r="BW101" t="n">
        <v>1</v>
      </c>
      <c r="BX101" t="n">
        <v>0</v>
      </c>
      <c r="BY101" t="n">
        <v>0</v>
      </c>
      <c r="BZ101" t="n">
        <v>1</v>
      </c>
      <c r="CA101" t="n">
        <v>0</v>
      </c>
      <c r="CB101" t="n">
        <v>0</v>
      </c>
      <c r="CD101" t="inlineStr">
        <is>
          <t xml:space="preserve">Somewhat easy </t>
        </is>
      </c>
      <c r="CE101" t="inlineStr">
        <is>
          <t xml:space="preserve"> Very important</t>
        </is>
      </c>
      <c r="CF101" t="n">
        <v>596510807</v>
      </c>
      <c r="CG101" t="inlineStr">
        <is>
          <t>9888ecf8-3d5c-44b8-9c39-e4eca047af29</t>
        </is>
      </c>
      <c r="CH101" s="1" t="n">
        <v>45963.656875</v>
      </c>
      <c r="CK101" t="inlineStr">
        <is>
          <t>submitted_via_web</t>
        </is>
      </c>
      <c r="CM101" t="inlineStr">
        <is>
          <t>vteYUDpqfKnk39PHFZkvPS</t>
        </is>
      </c>
      <c r="CO101" t="inlineStr">
        <is>
          <t>uuid:9888ecf8-3d5c-44b8-9c39-e4eca047af29</t>
        </is>
      </c>
      <c r="CP101" t="n">
        <v>100</v>
      </c>
      <c r="CQ101" t="n">
        <v>3</v>
      </c>
      <c r="CR101" t="n">
        <v>-0.3165225292847399</v>
      </c>
    </row>
    <row r="102">
      <c r="A102" s="1" t="n">
        <v>45963.88602965278</v>
      </c>
      <c r="B102" s="1" t="n">
        <v>45963.89029103009</v>
      </c>
      <c r="D102" t="inlineStr">
        <is>
          <t>35</t>
        </is>
      </c>
      <c r="E102" t="inlineStr">
        <is>
          <t>Female</t>
        </is>
      </c>
      <c r="F102" t="inlineStr">
        <is>
          <t>Sinhalese</t>
        </is>
      </c>
      <c r="H102" t="inlineStr">
        <is>
          <t>Buddhist</t>
        </is>
      </c>
      <c r="J102" t="inlineStr">
        <is>
          <t>Government sector</t>
        </is>
      </c>
      <c r="K102" t="inlineStr">
        <is>
          <t>51,000 – 100,000</t>
        </is>
      </c>
      <c r="L102" t="inlineStr">
        <is>
          <t xml:space="preserve">Graduate </t>
        </is>
      </c>
      <c r="M102" t="inlineStr">
        <is>
          <t>Western</t>
        </is>
      </c>
      <c r="N102" t="inlineStr">
        <is>
          <t xml:space="preserve">Married </t>
        </is>
      </c>
      <c r="O102" t="inlineStr">
        <is>
          <t xml:space="preserve">Yes, only one child </t>
        </is>
      </c>
      <c r="P102" t="inlineStr">
        <is>
          <t>No</t>
        </is>
      </c>
      <c r="S102" t="inlineStr">
        <is>
          <t>At workplace</t>
        </is>
      </c>
      <c r="U102" t="inlineStr">
        <is>
          <t>Yes</t>
        </is>
      </c>
      <c r="V102" t="inlineStr">
        <is>
          <t>Thalassemia major (severe form)   Thalassemia minor or trait (carrier form)</t>
        </is>
      </c>
      <c r="W102" t="n">
        <v>1</v>
      </c>
      <c r="X102" t="n">
        <v>1</v>
      </c>
      <c r="Y102" t="n">
        <v>0</v>
      </c>
      <c r="Z102" t="n">
        <v>0</v>
      </c>
      <c r="AA102" t="inlineStr">
        <is>
          <t xml:space="preserve">Thalassemia major (severe form)  </t>
        </is>
      </c>
      <c r="AB102" t="n">
        <v>1</v>
      </c>
      <c r="AC102" t="n">
        <v>0</v>
      </c>
      <c r="AD102" t="n">
        <v>0</v>
      </c>
      <c r="AE102" t="n">
        <v>0</v>
      </c>
      <c r="AF102" t="inlineStr">
        <is>
          <t>Thalassemia minor or trait (carrier form)</t>
        </is>
      </c>
      <c r="AG102" t="n">
        <v>0</v>
      </c>
      <c r="AH102" t="n">
        <v>1</v>
      </c>
      <c r="AI102" t="n">
        <v>0</v>
      </c>
      <c r="AJ102" t="n">
        <v>0</v>
      </c>
      <c r="AK102" t="inlineStr">
        <is>
          <t>Yes</t>
        </is>
      </c>
      <c r="AL102" t="inlineStr">
        <is>
          <t>Very difficult (e.g., bone marrow transplant)</t>
        </is>
      </c>
      <c r="AM102" t="inlineStr">
        <is>
          <t xml:space="preserve">Can be prevented </t>
        </is>
      </c>
      <c r="AN102" t="inlineStr">
        <is>
          <t xml:space="preserve">From generation to generation (hereditary)  </t>
        </is>
      </c>
      <c r="AO102" t="inlineStr">
        <is>
          <t>Healthy</t>
        </is>
      </c>
      <c r="AP102" t="inlineStr">
        <is>
          <t xml:space="preserve">Has a chance to be affected (e.g., 25%) </t>
        </is>
      </c>
      <c r="AQ102" t="inlineStr">
        <is>
          <t xml:space="preserve">Yes </t>
        </is>
      </c>
      <c r="AR102" t="inlineStr">
        <is>
          <t>Don’t know</t>
        </is>
      </c>
      <c r="AS102" t="inlineStr">
        <is>
          <t xml:space="preserve">Regular blood transfusions for life </t>
        </is>
      </c>
      <c r="AT102" t="n">
        <v>1</v>
      </c>
      <c r="AU102" t="n">
        <v>0</v>
      </c>
      <c r="AV102" t="n">
        <v>0</v>
      </c>
      <c r="AW102" t="n">
        <v>0</v>
      </c>
      <c r="AX102" t="n">
        <v>0</v>
      </c>
      <c r="AY102" t="n">
        <v>0</v>
      </c>
      <c r="AZ102" t="n">
        <v>0</v>
      </c>
      <c r="BA102" t="n">
        <v>0</v>
      </c>
      <c r="BB102" t="inlineStr">
        <is>
          <t xml:space="preserve"> Get the partner tested before marriage   Get family members tested </t>
        </is>
      </c>
      <c r="BC102" t="n">
        <v>1</v>
      </c>
      <c r="BD102" t="n">
        <v>1</v>
      </c>
      <c r="BE102" t="n">
        <v>0</v>
      </c>
      <c r="BF102" t="n">
        <v>0</v>
      </c>
      <c r="BG102" t="inlineStr">
        <is>
          <t xml:space="preserve">School  </t>
        </is>
      </c>
      <c r="BH102" t="inlineStr">
        <is>
          <t>Definitely not</t>
        </is>
      </c>
      <c r="BI102" t="inlineStr">
        <is>
          <t xml:space="preserve">No </t>
        </is>
      </c>
      <c r="BJ102" t="inlineStr">
        <is>
          <t xml:space="preserve">Very important </t>
        </is>
      </c>
      <c r="BK102" t="inlineStr">
        <is>
          <t xml:space="preserve"> Partner was screened after marriage </t>
        </is>
      </c>
      <c r="BP102" t="inlineStr">
        <is>
          <t xml:space="preserve">Agree </t>
        </is>
      </c>
      <c r="BQ102" t="inlineStr">
        <is>
          <t xml:space="preserve">Yes </t>
        </is>
      </c>
      <c r="BS102" t="inlineStr">
        <is>
          <t>Some</t>
        </is>
      </c>
      <c r="BT102" t="inlineStr">
        <is>
          <t>Don't know</t>
        </is>
      </c>
      <c r="BU102" t="inlineStr">
        <is>
          <t>Don't know</t>
        </is>
      </c>
      <c r="BV102" t="inlineStr">
        <is>
          <t>Lack of knowledge  Perception that screening was unnecessary</t>
        </is>
      </c>
      <c r="BW102" t="n">
        <v>1</v>
      </c>
      <c r="BX102" t="n">
        <v>0</v>
      </c>
      <c r="BY102" t="n">
        <v>0</v>
      </c>
      <c r="BZ102" t="n">
        <v>1</v>
      </c>
      <c r="CA102" t="n">
        <v>0</v>
      </c>
      <c r="CB102" t="n">
        <v>0</v>
      </c>
      <c r="CD102" t="inlineStr">
        <is>
          <t xml:space="preserve">Somewhat easy </t>
        </is>
      </c>
      <c r="CE102" t="inlineStr">
        <is>
          <t xml:space="preserve"> Very important</t>
        </is>
      </c>
      <c r="CF102" t="n">
        <v>596514118</v>
      </c>
      <c r="CG102" t="inlineStr">
        <is>
          <t>2fefbc07-d4a5-40ca-9032-d70a499f3854</t>
        </is>
      </c>
      <c r="CH102" s="1" t="n">
        <v>45963.66114583334</v>
      </c>
      <c r="CK102" t="inlineStr">
        <is>
          <t>submitted_via_web</t>
        </is>
      </c>
      <c r="CM102" t="inlineStr">
        <is>
          <t>vteYUDpqfKnk39PHFZkvPS</t>
        </is>
      </c>
      <c r="CO102" t="inlineStr">
        <is>
          <t>uuid:2fefbc07-d4a5-40ca-9032-d70a499f3854</t>
        </is>
      </c>
      <c r="CP102" t="n">
        <v>101</v>
      </c>
      <c r="CQ102" t="n">
        <v>3</v>
      </c>
      <c r="CR102" t="n">
        <v>-0.3165225292847399</v>
      </c>
    </row>
    <row r="103">
      <c r="A103" s="1" t="n">
        <v>45963.89029215278</v>
      </c>
      <c r="B103" s="1" t="n">
        <v>45963.89671114583</v>
      </c>
      <c r="D103" t="inlineStr">
        <is>
          <t>20</t>
        </is>
      </c>
      <c r="E103" t="inlineStr">
        <is>
          <t xml:space="preserve">Male </t>
        </is>
      </c>
      <c r="F103" t="inlineStr">
        <is>
          <t>Sinhalese</t>
        </is>
      </c>
      <c r="H103" t="inlineStr">
        <is>
          <t>Buddhist</t>
        </is>
      </c>
      <c r="J103" t="inlineStr">
        <is>
          <t>Not employed</t>
        </is>
      </c>
      <c r="L103" t="inlineStr">
        <is>
          <t xml:space="preserve">Up to A/L </t>
        </is>
      </c>
      <c r="M103" t="inlineStr">
        <is>
          <t>Western</t>
        </is>
      </c>
      <c r="N103" t="inlineStr">
        <is>
          <t>Single</t>
        </is>
      </c>
      <c r="S103" t="inlineStr">
        <is>
          <t xml:space="preserve">During school/university  </t>
        </is>
      </c>
      <c r="U103" t="inlineStr">
        <is>
          <t>Yes</t>
        </is>
      </c>
      <c r="V103" t="inlineStr">
        <is>
          <t>Thalassemia major (severe form)   Thalassemia minor or trait (carrier form)</t>
        </is>
      </c>
      <c r="W103" t="n">
        <v>1</v>
      </c>
      <c r="X103" t="n">
        <v>1</v>
      </c>
      <c r="Y103" t="n">
        <v>0</v>
      </c>
      <c r="Z103" t="n">
        <v>0</v>
      </c>
      <c r="AA103" t="inlineStr">
        <is>
          <t xml:space="preserve">Thalassemia major (severe form)  </t>
        </is>
      </c>
      <c r="AB103" t="n">
        <v>1</v>
      </c>
      <c r="AC103" t="n">
        <v>0</v>
      </c>
      <c r="AD103" t="n">
        <v>0</v>
      </c>
      <c r="AE103" t="n">
        <v>0</v>
      </c>
      <c r="AF103" t="inlineStr">
        <is>
          <t>Thalassemia minor or trait (carrier form)</t>
        </is>
      </c>
      <c r="AG103" t="n">
        <v>0</v>
      </c>
      <c r="AH103" t="n">
        <v>1</v>
      </c>
      <c r="AI103" t="n">
        <v>0</v>
      </c>
      <c r="AJ103" t="n">
        <v>0</v>
      </c>
      <c r="AK103" t="inlineStr">
        <is>
          <t>No</t>
        </is>
      </c>
      <c r="AL103" t="inlineStr">
        <is>
          <t xml:space="preserve">Cannot be cured   </t>
        </is>
      </c>
      <c r="AM103" t="inlineStr">
        <is>
          <t xml:space="preserve">Can be prevented </t>
        </is>
      </c>
      <c r="AN103" t="inlineStr">
        <is>
          <t xml:space="preserve">From generation to generation (hereditary)  </t>
        </is>
      </c>
      <c r="AO103" t="inlineStr">
        <is>
          <t>Healthy</t>
        </is>
      </c>
      <c r="AP103" t="inlineStr">
        <is>
          <t xml:space="preserve">Has a chance to be affected (e.g., 25%) </t>
        </is>
      </c>
      <c r="AQ103" t="inlineStr">
        <is>
          <t xml:space="preserve">Yes </t>
        </is>
      </c>
      <c r="AR103" t="inlineStr">
        <is>
          <t>Don’t know</t>
        </is>
      </c>
      <c r="AS103" t="inlineStr">
        <is>
          <t xml:space="preserve">Regular blood transfusions for life </t>
        </is>
      </c>
      <c r="AT103" t="n">
        <v>1</v>
      </c>
      <c r="AU103" t="n">
        <v>0</v>
      </c>
      <c r="AV103" t="n">
        <v>0</v>
      </c>
      <c r="AW103" t="n">
        <v>0</v>
      </c>
      <c r="AX103" t="n">
        <v>0</v>
      </c>
      <c r="AY103" t="n">
        <v>0</v>
      </c>
      <c r="AZ103" t="n">
        <v>0</v>
      </c>
      <c r="BA103" t="n">
        <v>0</v>
      </c>
      <c r="BB103" t="inlineStr">
        <is>
          <t xml:space="preserve"> Get the partner tested before marriage   Get family members tested </t>
        </is>
      </c>
      <c r="BC103" t="n">
        <v>1</v>
      </c>
      <c r="BD103" t="n">
        <v>1</v>
      </c>
      <c r="BE103" t="n">
        <v>0</v>
      </c>
      <c r="BF103" t="n">
        <v>0</v>
      </c>
      <c r="BG103" t="inlineStr">
        <is>
          <t xml:space="preserve">School  </t>
        </is>
      </c>
      <c r="BH103" t="inlineStr">
        <is>
          <t>Definitely not</t>
        </is>
      </c>
      <c r="BI103" t="inlineStr">
        <is>
          <t xml:space="preserve">No </t>
        </is>
      </c>
      <c r="BJ103" t="inlineStr">
        <is>
          <t xml:space="preserve">Very important </t>
        </is>
      </c>
      <c r="BK103" t="inlineStr">
        <is>
          <t>Other</t>
        </is>
      </c>
      <c r="BL103" t="inlineStr">
        <is>
          <t>Still not married. Will be screen before marriage</t>
        </is>
      </c>
      <c r="BM103" t="inlineStr">
        <is>
          <t>Other</t>
        </is>
      </c>
      <c r="BN103" t="inlineStr">
        <is>
          <t>Still not married. Will be screen before marriage</t>
        </is>
      </c>
      <c r="BP103" t="inlineStr">
        <is>
          <t xml:space="preserve">Agree </t>
        </is>
      </c>
      <c r="BQ103" t="inlineStr">
        <is>
          <t xml:space="preserve">Yes </t>
        </is>
      </c>
      <c r="BS103" t="inlineStr">
        <is>
          <t>Some</t>
        </is>
      </c>
      <c r="BT103" t="inlineStr">
        <is>
          <t>None</t>
        </is>
      </c>
      <c r="BU103" t="inlineStr">
        <is>
          <t>Don't know</t>
        </is>
      </c>
      <c r="BV103" t="inlineStr">
        <is>
          <t>Lack of knowledge  Perception that screening was unnecessary</t>
        </is>
      </c>
      <c r="BW103" t="n">
        <v>1</v>
      </c>
      <c r="BX103" t="n">
        <v>0</v>
      </c>
      <c r="BY103" t="n">
        <v>0</v>
      </c>
      <c r="BZ103" t="n">
        <v>1</v>
      </c>
      <c r="CA103" t="n">
        <v>0</v>
      </c>
      <c r="CB103" t="n">
        <v>0</v>
      </c>
      <c r="CD103" t="inlineStr">
        <is>
          <t xml:space="preserve">Somewhat easy </t>
        </is>
      </c>
      <c r="CE103" t="inlineStr">
        <is>
          <t xml:space="preserve"> Very important</t>
        </is>
      </c>
      <c r="CF103" t="n">
        <v>596518167</v>
      </c>
      <c r="CG103" t="inlineStr">
        <is>
          <t>a6d2618c-4884-45ab-aec4-b47aee83e49c</t>
        </is>
      </c>
      <c r="CH103" s="1" t="n">
        <v>45963.66756944444</v>
      </c>
      <c r="CK103" t="inlineStr">
        <is>
          <t>submitted_via_web</t>
        </is>
      </c>
      <c r="CM103" t="inlineStr">
        <is>
          <t>vteYUDpqfKnk39PHFZkvPS</t>
        </is>
      </c>
      <c r="CO103" t="inlineStr">
        <is>
          <t>uuid:a6d2618c-4884-45ab-aec4-b47aee83e49c</t>
        </is>
      </c>
      <c r="CP103" t="n">
        <v>102</v>
      </c>
      <c r="CQ103" t="n">
        <v>3</v>
      </c>
      <c r="CR103" t="n">
        <v>-0.3165225292847399</v>
      </c>
    </row>
    <row r="104">
      <c r="A104" s="1" t="n">
        <v>45963.89671228009</v>
      </c>
      <c r="B104" s="1" t="n">
        <v>45963.90217243056</v>
      </c>
      <c r="D104" t="inlineStr">
        <is>
          <t>20</t>
        </is>
      </c>
      <c r="E104" t="inlineStr">
        <is>
          <t xml:space="preserve">Male </t>
        </is>
      </c>
      <c r="F104" t="inlineStr">
        <is>
          <t>Sinhalese</t>
        </is>
      </c>
      <c r="H104" t="inlineStr">
        <is>
          <t>Buddhist</t>
        </is>
      </c>
      <c r="J104" t="inlineStr">
        <is>
          <t>Not employed</t>
        </is>
      </c>
      <c r="L104" t="inlineStr">
        <is>
          <t xml:space="preserve">Up to A/L </t>
        </is>
      </c>
      <c r="M104" t="inlineStr">
        <is>
          <t>Western</t>
        </is>
      </c>
      <c r="N104" t="inlineStr">
        <is>
          <t>Single</t>
        </is>
      </c>
      <c r="P104" t="inlineStr">
        <is>
          <t>No</t>
        </is>
      </c>
      <c r="S104" t="inlineStr">
        <is>
          <t xml:space="preserve">During school/university  </t>
        </is>
      </c>
      <c r="U104" t="inlineStr">
        <is>
          <t>Yes</t>
        </is>
      </c>
      <c r="V104" t="inlineStr">
        <is>
          <t>Thalassemia major (severe form)   Thalassemia minor or trait (carrier form)</t>
        </is>
      </c>
      <c r="W104" t="n">
        <v>1</v>
      </c>
      <c r="X104" t="n">
        <v>1</v>
      </c>
      <c r="Y104" t="n">
        <v>0</v>
      </c>
      <c r="Z104" t="n">
        <v>0</v>
      </c>
      <c r="AA104" t="inlineStr">
        <is>
          <t xml:space="preserve">Thalassemia major (severe form)  </t>
        </is>
      </c>
      <c r="AB104" t="n">
        <v>1</v>
      </c>
      <c r="AC104" t="n">
        <v>0</v>
      </c>
      <c r="AD104" t="n">
        <v>0</v>
      </c>
      <c r="AE104" t="n">
        <v>0</v>
      </c>
      <c r="AF104" t="inlineStr">
        <is>
          <t>Thalassemia minor or trait (carrier form)</t>
        </is>
      </c>
      <c r="AG104" t="n">
        <v>0</v>
      </c>
      <c r="AH104" t="n">
        <v>1</v>
      </c>
      <c r="AI104" t="n">
        <v>0</v>
      </c>
      <c r="AJ104" t="n">
        <v>0</v>
      </c>
      <c r="AK104" t="inlineStr">
        <is>
          <t>Yes</t>
        </is>
      </c>
      <c r="AL104" t="inlineStr">
        <is>
          <t>Very difficult (e.g., bone marrow transplant)</t>
        </is>
      </c>
      <c r="AM104" t="inlineStr">
        <is>
          <t xml:space="preserve">Can be prevented </t>
        </is>
      </c>
      <c r="AN104" t="inlineStr">
        <is>
          <t xml:space="preserve">From generation to generation (hereditary)  </t>
        </is>
      </c>
      <c r="AO104" t="inlineStr">
        <is>
          <t>Healthy</t>
        </is>
      </c>
      <c r="AP104" t="inlineStr">
        <is>
          <t xml:space="preserve">Has a chance to be affected (e.g., 25%) </t>
        </is>
      </c>
      <c r="AQ104" t="inlineStr">
        <is>
          <t xml:space="preserve">Yes </t>
        </is>
      </c>
      <c r="AR104" t="inlineStr">
        <is>
          <t>Don’t know</t>
        </is>
      </c>
      <c r="AS104" t="inlineStr">
        <is>
          <t xml:space="preserve">Regular blood transfusions for life </t>
        </is>
      </c>
      <c r="AT104" t="n">
        <v>1</v>
      </c>
      <c r="AU104" t="n">
        <v>0</v>
      </c>
      <c r="AV104" t="n">
        <v>0</v>
      </c>
      <c r="AW104" t="n">
        <v>0</v>
      </c>
      <c r="AX104" t="n">
        <v>0</v>
      </c>
      <c r="AY104" t="n">
        <v>0</v>
      </c>
      <c r="AZ104" t="n">
        <v>0</v>
      </c>
      <c r="BA104" t="n">
        <v>0</v>
      </c>
      <c r="BB104" t="inlineStr">
        <is>
          <t xml:space="preserve"> Get the partner tested before marriage   Get family members tested </t>
        </is>
      </c>
      <c r="BC104" t="n">
        <v>1</v>
      </c>
      <c r="BD104" t="n">
        <v>1</v>
      </c>
      <c r="BE104" t="n">
        <v>0</v>
      </c>
      <c r="BF104" t="n">
        <v>0</v>
      </c>
      <c r="BG104" t="inlineStr">
        <is>
          <t xml:space="preserve">School  </t>
        </is>
      </c>
      <c r="BH104" t="inlineStr">
        <is>
          <t>Definitely not</t>
        </is>
      </c>
      <c r="BI104" t="inlineStr">
        <is>
          <t xml:space="preserve">No </t>
        </is>
      </c>
      <c r="BJ104" t="inlineStr">
        <is>
          <t xml:space="preserve">Very important </t>
        </is>
      </c>
      <c r="BK104" t="inlineStr">
        <is>
          <t>Other</t>
        </is>
      </c>
      <c r="BL104" t="inlineStr">
        <is>
          <t>Still not married. Will be screen before marriage</t>
        </is>
      </c>
      <c r="BM104" t="inlineStr">
        <is>
          <t>Other</t>
        </is>
      </c>
      <c r="BN104" t="inlineStr">
        <is>
          <t>Still not married. Will be screen before marriage</t>
        </is>
      </c>
      <c r="BP104" t="inlineStr">
        <is>
          <t xml:space="preserve">Agree </t>
        </is>
      </c>
      <c r="BQ104" t="inlineStr">
        <is>
          <t xml:space="preserve">Yes </t>
        </is>
      </c>
      <c r="BS104" t="inlineStr">
        <is>
          <t>Some</t>
        </is>
      </c>
      <c r="BT104" t="inlineStr">
        <is>
          <t>Don't know</t>
        </is>
      </c>
      <c r="BU104" t="inlineStr">
        <is>
          <t>None</t>
        </is>
      </c>
      <c r="BV104" t="inlineStr">
        <is>
          <t>Lack of knowledge  Perception that screening was unnecessary</t>
        </is>
      </c>
      <c r="BW104" t="n">
        <v>1</v>
      </c>
      <c r="BX104" t="n">
        <v>0</v>
      </c>
      <c r="BY104" t="n">
        <v>0</v>
      </c>
      <c r="BZ104" t="n">
        <v>1</v>
      </c>
      <c r="CA104" t="n">
        <v>0</v>
      </c>
      <c r="CB104" t="n">
        <v>0</v>
      </c>
      <c r="CD104" t="inlineStr">
        <is>
          <t xml:space="preserve">Somewhat easy </t>
        </is>
      </c>
      <c r="CE104" t="inlineStr">
        <is>
          <t xml:space="preserve"> Very important</t>
        </is>
      </c>
      <c r="CF104" t="n">
        <v>596522445</v>
      </c>
      <c r="CG104" t="inlineStr">
        <is>
          <t>0c0a1a61-ffca-49e1-b746-8045b83624e8</t>
        </is>
      </c>
      <c r="CH104" s="1" t="n">
        <v>45963.67303240741</v>
      </c>
      <c r="CK104" t="inlineStr">
        <is>
          <t>submitted_via_web</t>
        </is>
      </c>
      <c r="CM104" t="inlineStr">
        <is>
          <t>vteYUDpqfKnk39PHFZkvPS</t>
        </is>
      </c>
      <c r="CO104" t="inlineStr">
        <is>
          <t>uuid:0c0a1a61-ffca-49e1-b746-8045b83624e8</t>
        </is>
      </c>
      <c r="CP104" t="n">
        <v>103</v>
      </c>
      <c r="CQ104" t="n">
        <v>3</v>
      </c>
      <c r="CR104" t="n">
        <v>-0.3165225292847399</v>
      </c>
    </row>
    <row r="105">
      <c r="A105" s="1" t="n">
        <v>45963.90217354167</v>
      </c>
      <c r="B105" s="1" t="n">
        <v>45963.93588571759</v>
      </c>
      <c r="D105" t="inlineStr">
        <is>
          <t>20</t>
        </is>
      </c>
      <c r="E105" t="inlineStr">
        <is>
          <t>Female</t>
        </is>
      </c>
      <c r="F105" t="inlineStr">
        <is>
          <t>Sinhalese</t>
        </is>
      </c>
      <c r="H105" t="inlineStr">
        <is>
          <t>Buddhist</t>
        </is>
      </c>
      <c r="J105" t="inlineStr">
        <is>
          <t>Not employed</t>
        </is>
      </c>
      <c r="L105" t="inlineStr">
        <is>
          <t xml:space="preserve">Up to A/L </t>
        </is>
      </c>
      <c r="M105" t="inlineStr">
        <is>
          <t>Western</t>
        </is>
      </c>
      <c r="N105" t="inlineStr">
        <is>
          <t>Single</t>
        </is>
      </c>
      <c r="P105" t="inlineStr">
        <is>
          <t>No</t>
        </is>
      </c>
      <c r="S105" t="inlineStr">
        <is>
          <t xml:space="preserve">During school/university  </t>
        </is>
      </c>
      <c r="U105" t="inlineStr">
        <is>
          <t>Yes</t>
        </is>
      </c>
      <c r="V105" t="inlineStr">
        <is>
          <t>Thalassemia major (severe form)   Thalassemia minor or trait (carrier form)</t>
        </is>
      </c>
      <c r="W105" t="n">
        <v>1</v>
      </c>
      <c r="X105" t="n">
        <v>1</v>
      </c>
      <c r="Y105" t="n">
        <v>0</v>
      </c>
      <c r="Z105" t="n">
        <v>0</v>
      </c>
      <c r="AA105" t="inlineStr">
        <is>
          <t>Thalassemia major (severe form)   Thalassemia minor or trait (carrier form)</t>
        </is>
      </c>
      <c r="AB105" t="n">
        <v>1</v>
      </c>
      <c r="AC105" t="n">
        <v>1</v>
      </c>
      <c r="AD105" t="n">
        <v>0</v>
      </c>
      <c r="AE105" t="n">
        <v>0</v>
      </c>
      <c r="AF105" t="inlineStr">
        <is>
          <t>Thalassemia minor or trait (carrier form)</t>
        </is>
      </c>
      <c r="AG105" t="n">
        <v>0</v>
      </c>
      <c r="AH105" t="n">
        <v>1</v>
      </c>
      <c r="AI105" t="n">
        <v>0</v>
      </c>
      <c r="AJ105" t="n">
        <v>0</v>
      </c>
      <c r="AK105" t="inlineStr">
        <is>
          <t>Yes</t>
        </is>
      </c>
      <c r="AL105" t="inlineStr">
        <is>
          <t>Very difficult (e.g., bone marrow transplant)</t>
        </is>
      </c>
      <c r="AM105" t="inlineStr">
        <is>
          <t xml:space="preserve">Can be prevented </t>
        </is>
      </c>
      <c r="AN105" t="inlineStr">
        <is>
          <t xml:space="preserve">From generation to generation (hereditary)  </t>
        </is>
      </c>
      <c r="AO105" t="inlineStr">
        <is>
          <t>Healthy</t>
        </is>
      </c>
      <c r="AP105" t="inlineStr">
        <is>
          <t xml:space="preserve">Has a chance to be affected (e.g., 25%) </t>
        </is>
      </c>
      <c r="AQ105" t="inlineStr">
        <is>
          <t xml:space="preserve">Yes </t>
        </is>
      </c>
      <c r="AR105" t="inlineStr">
        <is>
          <t>Don’t know</t>
        </is>
      </c>
      <c r="AS105" t="inlineStr">
        <is>
          <t xml:space="preserve">Regular blood transfusions for life </t>
        </is>
      </c>
      <c r="AT105" t="n">
        <v>1</v>
      </c>
      <c r="AU105" t="n">
        <v>0</v>
      </c>
      <c r="AV105" t="n">
        <v>0</v>
      </c>
      <c r="AW105" t="n">
        <v>0</v>
      </c>
      <c r="AX105" t="n">
        <v>0</v>
      </c>
      <c r="AY105" t="n">
        <v>0</v>
      </c>
      <c r="AZ105" t="n">
        <v>0</v>
      </c>
      <c r="BA105" t="n">
        <v>0</v>
      </c>
      <c r="BB105" t="inlineStr">
        <is>
          <t xml:space="preserve"> Get the partner tested before marriage   Get family members tested </t>
        </is>
      </c>
      <c r="BC105" t="n">
        <v>1</v>
      </c>
      <c r="BD105" t="n">
        <v>1</v>
      </c>
      <c r="BE105" t="n">
        <v>0</v>
      </c>
      <c r="BF105" t="n">
        <v>0</v>
      </c>
      <c r="BG105" t="inlineStr">
        <is>
          <t xml:space="preserve">School  </t>
        </is>
      </c>
      <c r="BH105" t="inlineStr">
        <is>
          <t>Definitely not</t>
        </is>
      </c>
      <c r="BI105" t="inlineStr">
        <is>
          <t xml:space="preserve">No </t>
        </is>
      </c>
      <c r="BJ105" t="inlineStr">
        <is>
          <t xml:space="preserve">Very important </t>
        </is>
      </c>
      <c r="BK105" t="inlineStr">
        <is>
          <t>Other</t>
        </is>
      </c>
      <c r="BL105" t="inlineStr">
        <is>
          <t>Still not married. Will be screen before marriage</t>
        </is>
      </c>
      <c r="BM105" t="inlineStr">
        <is>
          <t>Other</t>
        </is>
      </c>
      <c r="BN105" t="inlineStr">
        <is>
          <t>Still not married. Will be screen before marriage</t>
        </is>
      </c>
      <c r="BP105" t="inlineStr">
        <is>
          <t xml:space="preserve">Agree </t>
        </is>
      </c>
      <c r="BQ105" t="inlineStr">
        <is>
          <t xml:space="preserve">Yes </t>
        </is>
      </c>
      <c r="BS105" t="inlineStr">
        <is>
          <t>Some</t>
        </is>
      </c>
      <c r="BT105" t="inlineStr">
        <is>
          <t>Don't know</t>
        </is>
      </c>
      <c r="BU105" t="inlineStr">
        <is>
          <t>None</t>
        </is>
      </c>
      <c r="BV105" t="inlineStr">
        <is>
          <t>Lack of knowledge  Perception that screening was unnecessary</t>
        </is>
      </c>
      <c r="BW105" t="n">
        <v>1</v>
      </c>
      <c r="BX105" t="n">
        <v>0</v>
      </c>
      <c r="BY105" t="n">
        <v>0</v>
      </c>
      <c r="BZ105" t="n">
        <v>1</v>
      </c>
      <c r="CA105" t="n">
        <v>0</v>
      </c>
      <c r="CB105" t="n">
        <v>0</v>
      </c>
      <c r="CD105" t="inlineStr">
        <is>
          <t xml:space="preserve">Somewhat easy </t>
        </is>
      </c>
      <c r="CE105" t="inlineStr">
        <is>
          <t xml:space="preserve"> Very important</t>
        </is>
      </c>
      <c r="CF105" t="n">
        <v>596547236</v>
      </c>
      <c r="CG105" t="inlineStr">
        <is>
          <t>6a77c84a-a074-41f8-b616-135df48cb477</t>
        </is>
      </c>
      <c r="CH105" s="1" t="n">
        <v>45963.70673611111</v>
      </c>
      <c r="CK105" t="inlineStr">
        <is>
          <t>submitted_via_web</t>
        </is>
      </c>
      <c r="CM105" t="inlineStr">
        <is>
          <t>vteYUDpqfKnk39PHFZkvPS</t>
        </is>
      </c>
      <c r="CO105" t="inlineStr">
        <is>
          <t>uuid:6a77c84a-a074-41f8-b616-135df48cb477</t>
        </is>
      </c>
      <c r="CP105" t="n">
        <v>104</v>
      </c>
      <c r="CQ105" t="n">
        <v>3</v>
      </c>
      <c r="CR105" t="n">
        <v>-0.3165225292847399</v>
      </c>
    </row>
    <row r="106">
      <c r="A106" s="1" t="n">
        <v>45963.93588762732</v>
      </c>
      <c r="B106" s="1" t="n">
        <v>45963.9388196875</v>
      </c>
      <c r="D106" t="inlineStr">
        <is>
          <t>20</t>
        </is>
      </c>
      <c r="E106" t="inlineStr">
        <is>
          <t>Female</t>
        </is>
      </c>
      <c r="F106" t="inlineStr">
        <is>
          <t>Sinhalese</t>
        </is>
      </c>
      <c r="H106" t="inlineStr">
        <is>
          <t>Buddhist</t>
        </is>
      </c>
      <c r="J106" t="inlineStr">
        <is>
          <t>Not employed</t>
        </is>
      </c>
      <c r="L106" t="inlineStr">
        <is>
          <t xml:space="preserve">Up to A/L </t>
        </is>
      </c>
      <c r="M106" t="inlineStr">
        <is>
          <t>Western</t>
        </is>
      </c>
      <c r="N106" t="inlineStr">
        <is>
          <t>Single</t>
        </is>
      </c>
      <c r="P106" t="inlineStr">
        <is>
          <t>No</t>
        </is>
      </c>
      <c r="S106" t="inlineStr">
        <is>
          <t xml:space="preserve">During school/university  </t>
        </is>
      </c>
      <c r="U106" t="inlineStr">
        <is>
          <t>Yes</t>
        </is>
      </c>
      <c r="V106" t="inlineStr">
        <is>
          <t>Thalassemia major (severe form)   Thalassemia minor or trait (carrier form)</t>
        </is>
      </c>
      <c r="W106" t="n">
        <v>1</v>
      </c>
      <c r="X106" t="n">
        <v>1</v>
      </c>
      <c r="Y106" t="n">
        <v>0</v>
      </c>
      <c r="Z106" t="n">
        <v>0</v>
      </c>
      <c r="AA106" t="inlineStr">
        <is>
          <t xml:space="preserve">Thalassemia major (severe form)  </t>
        </is>
      </c>
      <c r="AB106" t="n">
        <v>1</v>
      </c>
      <c r="AC106" t="n">
        <v>0</v>
      </c>
      <c r="AD106" t="n">
        <v>0</v>
      </c>
      <c r="AE106" t="n">
        <v>0</v>
      </c>
      <c r="AF106" t="inlineStr">
        <is>
          <t>Thalassemia minor or trait (carrier form)</t>
        </is>
      </c>
      <c r="AG106" t="n">
        <v>0</v>
      </c>
      <c r="AH106" t="n">
        <v>1</v>
      </c>
      <c r="AI106" t="n">
        <v>0</v>
      </c>
      <c r="AJ106" t="n">
        <v>0</v>
      </c>
      <c r="AK106" t="inlineStr">
        <is>
          <t>Yes</t>
        </is>
      </c>
      <c r="AL106" t="inlineStr">
        <is>
          <t xml:space="preserve">Cannot be cured   </t>
        </is>
      </c>
      <c r="AM106" t="inlineStr">
        <is>
          <t xml:space="preserve">Can be prevented </t>
        </is>
      </c>
      <c r="AN106" t="inlineStr">
        <is>
          <t xml:space="preserve">From generation to generation (hereditary)  </t>
        </is>
      </c>
      <c r="AO106" t="inlineStr">
        <is>
          <t>Healthy</t>
        </is>
      </c>
      <c r="AP106" t="inlineStr">
        <is>
          <t xml:space="preserve">Has a chance to be affected (e.g., 25%) </t>
        </is>
      </c>
      <c r="AQ106" t="inlineStr">
        <is>
          <t xml:space="preserve">Yes </t>
        </is>
      </c>
      <c r="AR106" t="inlineStr">
        <is>
          <t>Don’t know</t>
        </is>
      </c>
      <c r="AS106" t="inlineStr">
        <is>
          <t xml:space="preserve">Regular blood transfusions for life </t>
        </is>
      </c>
      <c r="AT106" t="n">
        <v>1</v>
      </c>
      <c r="AU106" t="n">
        <v>0</v>
      </c>
      <c r="AV106" t="n">
        <v>0</v>
      </c>
      <c r="AW106" t="n">
        <v>0</v>
      </c>
      <c r="AX106" t="n">
        <v>0</v>
      </c>
      <c r="AY106" t="n">
        <v>0</v>
      </c>
      <c r="AZ106" t="n">
        <v>0</v>
      </c>
      <c r="BA106" t="n">
        <v>0</v>
      </c>
      <c r="BB106" t="inlineStr">
        <is>
          <t xml:space="preserve"> Get the partner tested before marriage   Get family members tested </t>
        </is>
      </c>
      <c r="BC106" t="n">
        <v>1</v>
      </c>
      <c r="BD106" t="n">
        <v>1</v>
      </c>
      <c r="BE106" t="n">
        <v>0</v>
      </c>
      <c r="BF106" t="n">
        <v>0</v>
      </c>
      <c r="BG106" t="inlineStr">
        <is>
          <t xml:space="preserve">School  </t>
        </is>
      </c>
      <c r="BH106" t="inlineStr">
        <is>
          <t>Definitely not</t>
        </is>
      </c>
      <c r="BI106" t="inlineStr">
        <is>
          <t xml:space="preserve">No </t>
        </is>
      </c>
      <c r="BJ106" t="inlineStr">
        <is>
          <t xml:space="preserve">Very important </t>
        </is>
      </c>
      <c r="BK106" t="inlineStr">
        <is>
          <t>Other</t>
        </is>
      </c>
      <c r="BL106" t="inlineStr">
        <is>
          <t>Still not married. Will be screen before marriage</t>
        </is>
      </c>
      <c r="BM106" t="inlineStr">
        <is>
          <t>Other</t>
        </is>
      </c>
      <c r="BN106" t="inlineStr">
        <is>
          <t>Still not married. Will be screen before marriage</t>
        </is>
      </c>
      <c r="BP106" t="inlineStr">
        <is>
          <t xml:space="preserve">Agree </t>
        </is>
      </c>
      <c r="BQ106" t="inlineStr">
        <is>
          <t xml:space="preserve">Yes </t>
        </is>
      </c>
      <c r="BS106" t="inlineStr">
        <is>
          <t>Some</t>
        </is>
      </c>
      <c r="BT106" t="inlineStr">
        <is>
          <t>None</t>
        </is>
      </c>
      <c r="BU106" t="inlineStr">
        <is>
          <t>None</t>
        </is>
      </c>
      <c r="BV106" t="inlineStr">
        <is>
          <t xml:space="preserve">Lack of knowledge </t>
        </is>
      </c>
      <c r="BW106" t="n">
        <v>1</v>
      </c>
      <c r="BX106" t="n">
        <v>0</v>
      </c>
      <c r="BY106" t="n">
        <v>0</v>
      </c>
      <c r="BZ106" t="n">
        <v>0</v>
      </c>
      <c r="CA106" t="n">
        <v>0</v>
      </c>
      <c r="CB106" t="n">
        <v>0</v>
      </c>
      <c r="CD106" t="inlineStr">
        <is>
          <t xml:space="preserve">Somewhat easy </t>
        </is>
      </c>
      <c r="CE106" t="inlineStr">
        <is>
          <t xml:space="preserve"> Very important</t>
        </is>
      </c>
      <c r="CF106" t="n">
        <v>596548941</v>
      </c>
      <c r="CG106" t="inlineStr">
        <is>
          <t>ae6e9d8b-eeb9-47bd-8224-dd807fd361de</t>
        </is>
      </c>
      <c r="CH106" s="1" t="n">
        <v>45963.70967592593</v>
      </c>
      <c r="CK106" t="inlineStr">
        <is>
          <t>submitted_via_web</t>
        </is>
      </c>
      <c r="CM106" t="inlineStr">
        <is>
          <t>vteYUDpqfKnk39PHFZkvPS</t>
        </is>
      </c>
      <c r="CO106" t="inlineStr">
        <is>
          <t>uuid:ae6e9d8b-eeb9-47bd-8224-dd807fd361de</t>
        </is>
      </c>
      <c r="CP106" t="n">
        <v>105</v>
      </c>
      <c r="CQ106" t="n">
        <v>3</v>
      </c>
      <c r="CR106" t="n">
        <v>-0.3165225292847399</v>
      </c>
    </row>
    <row r="107">
      <c r="A107" s="1" t="n">
        <v>45963.93568677083</v>
      </c>
      <c r="B107" s="1" t="n">
        <v>45963.9419049537</v>
      </c>
      <c r="D107" t="inlineStr">
        <is>
          <t>27</t>
        </is>
      </c>
      <c r="E107" t="inlineStr">
        <is>
          <t>Female</t>
        </is>
      </c>
      <c r="F107" t="inlineStr">
        <is>
          <t>Sinhalese</t>
        </is>
      </c>
      <c r="H107" t="inlineStr">
        <is>
          <t>Buddhist</t>
        </is>
      </c>
      <c r="J107" t="inlineStr">
        <is>
          <t>Not employed</t>
        </is>
      </c>
      <c r="L107" t="inlineStr">
        <is>
          <t xml:space="preserve">Undergraduate </t>
        </is>
      </c>
      <c r="M107" t="inlineStr">
        <is>
          <t xml:space="preserve">Southern </t>
        </is>
      </c>
      <c r="N107" t="inlineStr">
        <is>
          <t>Single</t>
        </is>
      </c>
      <c r="P107" t="inlineStr">
        <is>
          <t xml:space="preserve"> Yes </t>
        </is>
      </c>
      <c r="Q107" t="inlineStr">
        <is>
          <t>Mother and grand mother have low hemoglobin levels</t>
        </is>
      </c>
      <c r="S107" t="inlineStr">
        <is>
          <t>During community screening</t>
        </is>
      </c>
      <c r="U107" t="inlineStr">
        <is>
          <t>Yes</t>
        </is>
      </c>
      <c r="V107" t="inlineStr">
        <is>
          <t xml:space="preserve">Thalassemia major (severe form)   Thalassemia minor or trait (carrier form) Thalassemia intermedia (moderate form) </t>
        </is>
      </c>
      <c r="W107" t="n">
        <v>1</v>
      </c>
      <c r="X107" t="n">
        <v>1</v>
      </c>
      <c r="Y107" t="n">
        <v>1</v>
      </c>
      <c r="Z107" t="n">
        <v>0</v>
      </c>
      <c r="AA107" t="inlineStr">
        <is>
          <t xml:space="preserve">Thalassemia major (severe form)  </t>
        </is>
      </c>
      <c r="AB107" t="n">
        <v>1</v>
      </c>
      <c r="AC107" t="n">
        <v>0</v>
      </c>
      <c r="AD107" t="n">
        <v>0</v>
      </c>
      <c r="AE107" t="n">
        <v>0</v>
      </c>
      <c r="AF107" t="inlineStr">
        <is>
          <t>Thalassemia minor or trait (carrier form)</t>
        </is>
      </c>
      <c r="AG107" t="n">
        <v>0</v>
      </c>
      <c r="AH107" t="n">
        <v>1</v>
      </c>
      <c r="AI107" t="n">
        <v>0</v>
      </c>
      <c r="AJ107" t="n">
        <v>0</v>
      </c>
      <c r="AK107" t="inlineStr">
        <is>
          <t>Yes</t>
        </is>
      </c>
      <c r="AL107" t="inlineStr">
        <is>
          <t>Very difficult (e.g., bone marrow transplant)</t>
        </is>
      </c>
      <c r="AM107" t="inlineStr">
        <is>
          <t xml:space="preserve">Can be prevented </t>
        </is>
      </c>
      <c r="AN107" t="inlineStr">
        <is>
          <t xml:space="preserve">From generation to generation (hereditary)  </t>
        </is>
      </c>
      <c r="AO107" t="inlineStr">
        <is>
          <t>Healthy</t>
        </is>
      </c>
      <c r="AP107" t="inlineStr">
        <is>
          <t>Always affected by thalassemia</t>
        </is>
      </c>
      <c r="AQ107" t="inlineStr">
        <is>
          <t>No</t>
        </is>
      </c>
      <c r="AR107" t="inlineStr">
        <is>
          <t>Don’t know</t>
        </is>
      </c>
      <c r="AS107" t="inlineStr">
        <is>
          <t>Regular blood transfusions for life  Iron overload affecting heart and liver  Delayed growth and puberty Risk of infections from transfusions Fatigue Bone deformities</t>
        </is>
      </c>
      <c r="AT107" t="n">
        <v>1</v>
      </c>
      <c r="AU107" t="n">
        <v>1</v>
      </c>
      <c r="AV107" t="n">
        <v>1</v>
      </c>
      <c r="AW107" t="n">
        <v>0</v>
      </c>
      <c r="AX107" t="n">
        <v>1</v>
      </c>
      <c r="AY107" t="n">
        <v>0</v>
      </c>
      <c r="AZ107" t="n">
        <v>1</v>
      </c>
      <c r="BA107" t="n">
        <v>1</v>
      </c>
      <c r="BB107" t="inlineStr">
        <is>
          <t xml:space="preserve"> Get the partner tested before marriage   Get family members tested </t>
        </is>
      </c>
      <c r="BC107" t="n">
        <v>1</v>
      </c>
      <c r="BD107" t="n">
        <v>1</v>
      </c>
      <c r="BE107" t="n">
        <v>0</v>
      </c>
      <c r="BF107" t="n">
        <v>0</v>
      </c>
      <c r="BG107" t="inlineStr">
        <is>
          <t xml:space="preserve">School  </t>
        </is>
      </c>
      <c r="BH107" t="inlineStr">
        <is>
          <t>Definitely not</t>
        </is>
      </c>
      <c r="BI107" t="inlineStr">
        <is>
          <t xml:space="preserve">No </t>
        </is>
      </c>
      <c r="BJ107" t="inlineStr">
        <is>
          <t xml:space="preserve">Very important </t>
        </is>
      </c>
      <c r="BK107" t="inlineStr">
        <is>
          <t>Partner was screened before marriage</t>
        </is>
      </c>
      <c r="BP107" t="inlineStr">
        <is>
          <t xml:space="preserve">Agree </t>
        </is>
      </c>
      <c r="BQ107" t="inlineStr">
        <is>
          <t xml:space="preserve">Yes </t>
        </is>
      </c>
      <c r="BS107" t="inlineStr">
        <is>
          <t>Don't know</t>
        </is>
      </c>
      <c r="BT107" t="inlineStr">
        <is>
          <t>Don't know</t>
        </is>
      </c>
      <c r="BU107" t="inlineStr">
        <is>
          <t>Don't know</t>
        </is>
      </c>
      <c r="BV107" t="inlineStr">
        <is>
          <t xml:space="preserve">Lack of knowledge </t>
        </is>
      </c>
      <c r="BW107" t="n">
        <v>1</v>
      </c>
      <c r="BX107" t="n">
        <v>0</v>
      </c>
      <c r="BY107" t="n">
        <v>0</v>
      </c>
      <c r="BZ107" t="n">
        <v>0</v>
      </c>
      <c r="CA107" t="n">
        <v>0</v>
      </c>
      <c r="CB107" t="n">
        <v>0</v>
      </c>
      <c r="CD107" t="inlineStr">
        <is>
          <t xml:space="preserve">Difficult </t>
        </is>
      </c>
      <c r="CE107" t="inlineStr">
        <is>
          <t xml:space="preserve"> Very important</t>
        </is>
      </c>
      <c r="CF107" t="n">
        <v>596551063</v>
      </c>
      <c r="CG107" t="inlineStr">
        <is>
          <t>ff136494-6a63-473a-b0a9-53cc34dfc1e8</t>
        </is>
      </c>
      <c r="CH107" s="1" t="n">
        <v>45963.7127662037</v>
      </c>
      <c r="CK107" t="inlineStr">
        <is>
          <t>submitted_via_web</t>
        </is>
      </c>
      <c r="CM107" t="inlineStr">
        <is>
          <t>vteYUDpqfKnk39PHFZkvPS</t>
        </is>
      </c>
      <c r="CO107" t="inlineStr">
        <is>
          <t>uuid:ff136494-6a63-473a-b0a9-53cc34dfc1e8</t>
        </is>
      </c>
      <c r="CP107" t="n">
        <v>106</v>
      </c>
      <c r="CQ107" t="n">
        <v>9</v>
      </c>
      <c r="CR107" t="n">
        <v>2.025355816220758</v>
      </c>
    </row>
    <row r="108">
      <c r="A108" s="1" t="n">
        <v>45964.71991072917</v>
      </c>
      <c r="B108" s="1" t="n">
        <v>45964.72182946759</v>
      </c>
      <c r="D108" t="inlineStr">
        <is>
          <t>26</t>
        </is>
      </c>
      <c r="E108" t="inlineStr">
        <is>
          <t xml:space="preserve">Male </t>
        </is>
      </c>
      <c r="F108" t="inlineStr">
        <is>
          <t>Sinhalese</t>
        </is>
      </c>
      <c r="H108" t="inlineStr">
        <is>
          <t>Buddhist</t>
        </is>
      </c>
      <c r="J108" t="inlineStr">
        <is>
          <t>Government sector</t>
        </is>
      </c>
      <c r="K108" t="inlineStr">
        <is>
          <t>25,000 – 50,000</t>
        </is>
      </c>
      <c r="M108" t="inlineStr">
        <is>
          <t>Western</t>
        </is>
      </c>
      <c r="N108" t="inlineStr">
        <is>
          <t xml:space="preserve">Married </t>
        </is>
      </c>
      <c r="O108" t="inlineStr">
        <is>
          <t>No children</t>
        </is>
      </c>
      <c r="P108" t="inlineStr">
        <is>
          <t>No</t>
        </is>
      </c>
      <c r="S108" t="inlineStr">
        <is>
          <t>At workplace</t>
        </is>
      </c>
      <c r="U108" t="inlineStr">
        <is>
          <t>Yes</t>
        </is>
      </c>
      <c r="V108" t="inlineStr">
        <is>
          <t>Thalassemia major (severe form)   Thalassemia minor or trait (carrier form)</t>
        </is>
      </c>
      <c r="W108" t="n">
        <v>1</v>
      </c>
      <c r="X108" t="n">
        <v>1</v>
      </c>
      <c r="Y108" t="n">
        <v>0</v>
      </c>
      <c r="Z108" t="n">
        <v>0</v>
      </c>
      <c r="AA108" t="inlineStr">
        <is>
          <t xml:space="preserve">Thalassemia major (severe form)  </t>
        </is>
      </c>
      <c r="AB108" t="n">
        <v>1</v>
      </c>
      <c r="AC108" t="n">
        <v>0</v>
      </c>
      <c r="AD108" t="n">
        <v>0</v>
      </c>
      <c r="AE108" t="n">
        <v>0</v>
      </c>
      <c r="AF108" t="inlineStr">
        <is>
          <t>Thalassemia minor or trait (carrier form)</t>
        </is>
      </c>
      <c r="AG108" t="n">
        <v>0</v>
      </c>
      <c r="AH108" t="n">
        <v>1</v>
      </c>
      <c r="AI108" t="n">
        <v>0</v>
      </c>
      <c r="AJ108" t="n">
        <v>0</v>
      </c>
      <c r="AK108" t="inlineStr">
        <is>
          <t>Yes</t>
        </is>
      </c>
      <c r="AL108" t="inlineStr">
        <is>
          <t xml:space="preserve">Cannot be cured   </t>
        </is>
      </c>
      <c r="AM108" t="inlineStr">
        <is>
          <t xml:space="preserve">Can be prevented </t>
        </is>
      </c>
      <c r="AN108" t="inlineStr">
        <is>
          <t xml:space="preserve">From generation to generation (hereditary)  </t>
        </is>
      </c>
      <c r="AO108" t="inlineStr">
        <is>
          <t>Healthy</t>
        </is>
      </c>
      <c r="AP108" t="inlineStr">
        <is>
          <t>Always affected by thalassemia</t>
        </is>
      </c>
      <c r="AQ108" t="inlineStr">
        <is>
          <t xml:space="preserve">Yes </t>
        </is>
      </c>
      <c r="AR108" t="inlineStr">
        <is>
          <t>Don’t know</t>
        </is>
      </c>
      <c r="AS108" t="inlineStr">
        <is>
          <t>Regular blood transfusions for life  Iron overload affecting heart and liver  Fatigue</t>
        </is>
      </c>
      <c r="AT108" t="n">
        <v>1</v>
      </c>
      <c r="AU108" t="n">
        <v>1</v>
      </c>
      <c r="AV108" t="n">
        <v>0</v>
      </c>
      <c r="AW108" t="n">
        <v>0</v>
      </c>
      <c r="AX108" t="n">
        <v>0</v>
      </c>
      <c r="AY108" t="n">
        <v>0</v>
      </c>
      <c r="AZ108" t="n">
        <v>1</v>
      </c>
      <c r="BA108" t="n">
        <v>0</v>
      </c>
      <c r="BB108" t="inlineStr">
        <is>
          <t xml:space="preserve"> Get the partner tested before marriage  </t>
        </is>
      </c>
      <c r="BC108" t="n">
        <v>1</v>
      </c>
      <c r="BD108" t="n">
        <v>0</v>
      </c>
      <c r="BE108" t="n">
        <v>0</v>
      </c>
      <c r="BF108" t="n">
        <v>0</v>
      </c>
      <c r="BG108" t="inlineStr">
        <is>
          <t xml:space="preserve">Healthcare staff (doctors and nurses) </t>
        </is>
      </c>
      <c r="BH108" t="inlineStr">
        <is>
          <t>Definitely not</t>
        </is>
      </c>
      <c r="BI108" t="inlineStr">
        <is>
          <t xml:space="preserve">No </t>
        </is>
      </c>
      <c r="BJ108" t="inlineStr">
        <is>
          <t xml:space="preserve">Very important </t>
        </is>
      </c>
      <c r="BK108" t="inlineStr">
        <is>
          <t>Partner was screened before marriage</t>
        </is>
      </c>
      <c r="BP108" t="inlineStr">
        <is>
          <t xml:space="preserve">Agree </t>
        </is>
      </c>
      <c r="BQ108" t="inlineStr">
        <is>
          <t xml:space="preserve">Yes </t>
        </is>
      </c>
      <c r="BS108" t="inlineStr">
        <is>
          <t>All</t>
        </is>
      </c>
      <c r="BT108" t="inlineStr">
        <is>
          <t>None</t>
        </is>
      </c>
      <c r="BU108" t="inlineStr">
        <is>
          <t>None</t>
        </is>
      </c>
      <c r="BV108" t="inlineStr">
        <is>
          <t xml:space="preserve">Lack of knowledge </t>
        </is>
      </c>
      <c r="BW108" t="n">
        <v>1</v>
      </c>
      <c r="BX108" t="n">
        <v>0</v>
      </c>
      <c r="BY108" t="n">
        <v>0</v>
      </c>
      <c r="BZ108" t="n">
        <v>0</v>
      </c>
      <c r="CA108" t="n">
        <v>0</v>
      </c>
      <c r="CB108" t="n">
        <v>0</v>
      </c>
      <c r="CD108" t="inlineStr">
        <is>
          <t xml:space="preserve">Difficult </t>
        </is>
      </c>
      <c r="CE108" t="inlineStr">
        <is>
          <t xml:space="preserve">Important </t>
        </is>
      </c>
      <c r="CF108" t="n">
        <v>597067313</v>
      </c>
      <c r="CG108" t="inlineStr">
        <is>
          <t>32181c97-373e-4096-8f2f-3678f4914749</t>
        </is>
      </c>
      <c r="CH108" s="1" t="n">
        <v>45964.49267361111</v>
      </c>
      <c r="CK108" t="inlineStr">
        <is>
          <t>submitted_via_web</t>
        </is>
      </c>
      <c r="CM108" t="inlineStr">
        <is>
          <t>vteYUDpqfKnk39PHFZkvPS</t>
        </is>
      </c>
      <c r="CO108" t="inlineStr">
        <is>
          <t>uuid:32181c97-373e-4096-8f2f-3678f4914749</t>
        </is>
      </c>
      <c r="CP108" t="n">
        <v>107</v>
      </c>
      <c r="CQ108" t="n">
        <v>5</v>
      </c>
      <c r="CR108" t="n">
        <v>0.4641035858837596</v>
      </c>
    </row>
    <row r="109">
      <c r="A109" s="1" t="n">
        <v>45964.7218303125</v>
      </c>
      <c r="B109" s="1" t="n">
        <v>45964.75664819445</v>
      </c>
      <c r="D109" t="inlineStr">
        <is>
          <t>29</t>
        </is>
      </c>
      <c r="E109" t="inlineStr">
        <is>
          <t xml:space="preserve">Male </t>
        </is>
      </c>
      <c r="F109" t="inlineStr">
        <is>
          <t>Sinhalese</t>
        </is>
      </c>
      <c r="H109" t="inlineStr">
        <is>
          <t>Buddhist</t>
        </is>
      </c>
      <c r="J109" t="inlineStr">
        <is>
          <t>Private sector</t>
        </is>
      </c>
      <c r="K109" t="inlineStr">
        <is>
          <t>25,000 – 50,000</t>
        </is>
      </c>
      <c r="L109" t="inlineStr">
        <is>
          <t xml:space="preserve">Graduate </t>
        </is>
      </c>
      <c r="M109" t="inlineStr">
        <is>
          <t>Western</t>
        </is>
      </c>
      <c r="N109" t="inlineStr">
        <is>
          <t>Single</t>
        </is>
      </c>
      <c r="P109" t="inlineStr">
        <is>
          <t>No</t>
        </is>
      </c>
      <c r="R109" s="1" t="n">
        <v>44428</v>
      </c>
      <c r="S109" t="inlineStr">
        <is>
          <t xml:space="preserve">During school/university  </t>
        </is>
      </c>
      <c r="U109" t="inlineStr">
        <is>
          <t>Yes</t>
        </is>
      </c>
      <c r="V109" t="inlineStr">
        <is>
          <t>I don’t know</t>
        </is>
      </c>
      <c r="W109" t="n">
        <v>0</v>
      </c>
      <c r="X109" t="n">
        <v>0</v>
      </c>
      <c r="Y109" t="n">
        <v>0</v>
      </c>
      <c r="Z109" t="n">
        <v>1</v>
      </c>
      <c r="AA109" t="inlineStr">
        <is>
          <t>I don’t know</t>
        </is>
      </c>
      <c r="AB109" t="n">
        <v>0</v>
      </c>
      <c r="AC109" t="n">
        <v>0</v>
      </c>
      <c r="AD109" t="n">
        <v>0</v>
      </c>
      <c r="AE109" t="n">
        <v>1</v>
      </c>
      <c r="AF109" t="inlineStr">
        <is>
          <t>Thalassemia minor or trait (carrier form)</t>
        </is>
      </c>
      <c r="AG109" t="n">
        <v>0</v>
      </c>
      <c r="AH109" t="n">
        <v>1</v>
      </c>
      <c r="AI109" t="n">
        <v>0</v>
      </c>
      <c r="AJ109" t="n">
        <v>0</v>
      </c>
      <c r="AK109" t="inlineStr">
        <is>
          <t>Don’t know</t>
        </is>
      </c>
      <c r="AL109" t="inlineStr">
        <is>
          <t>Don’t know</t>
        </is>
      </c>
      <c r="AM109" t="inlineStr">
        <is>
          <t>Not sure</t>
        </is>
      </c>
      <c r="AO109" t="inlineStr">
        <is>
          <t>Healthy</t>
        </is>
      </c>
      <c r="AP109" t="inlineStr">
        <is>
          <t>Always affected by thalassemia</t>
        </is>
      </c>
      <c r="AQ109" t="inlineStr">
        <is>
          <t xml:space="preserve">Yes </t>
        </is>
      </c>
      <c r="AR109" t="inlineStr">
        <is>
          <t>Don’t know</t>
        </is>
      </c>
      <c r="BB109" t="inlineStr">
        <is>
          <t>I don’t know</t>
        </is>
      </c>
      <c r="BC109" t="n">
        <v>0</v>
      </c>
      <c r="BD109" t="n">
        <v>0</v>
      </c>
      <c r="BE109" t="n">
        <v>0</v>
      </c>
      <c r="BF109" t="n">
        <v>1</v>
      </c>
      <c r="BG109" t="inlineStr">
        <is>
          <t>Only found out after screening</t>
        </is>
      </c>
      <c r="BH109" t="inlineStr">
        <is>
          <t xml:space="preserve">Not sure </t>
        </is>
      </c>
      <c r="BI109" t="inlineStr">
        <is>
          <t>Not sure</t>
        </is>
      </c>
      <c r="BJ109" t="inlineStr">
        <is>
          <t xml:space="preserve">Not sure </t>
        </is>
      </c>
      <c r="BP109" t="inlineStr">
        <is>
          <t xml:space="preserve">Agree </t>
        </is>
      </c>
      <c r="BQ109" t="inlineStr">
        <is>
          <t xml:space="preserve">Yes </t>
        </is>
      </c>
      <c r="BS109" t="inlineStr">
        <is>
          <t>None</t>
        </is>
      </c>
      <c r="BT109" t="inlineStr">
        <is>
          <t>None</t>
        </is>
      </c>
      <c r="BU109" t="inlineStr">
        <is>
          <t>None</t>
        </is>
      </c>
      <c r="BV109" t="inlineStr">
        <is>
          <t xml:space="preserve">Lack of knowledge </t>
        </is>
      </c>
      <c r="BW109" t="n">
        <v>1</v>
      </c>
      <c r="BX109" t="n">
        <v>0</v>
      </c>
      <c r="BY109" t="n">
        <v>0</v>
      </c>
      <c r="BZ109" t="n">
        <v>0</v>
      </c>
      <c r="CA109" t="n">
        <v>0</v>
      </c>
      <c r="CB109" t="n">
        <v>0</v>
      </c>
      <c r="CD109" t="inlineStr">
        <is>
          <t>Not sure</t>
        </is>
      </c>
      <c r="CE109" t="inlineStr">
        <is>
          <t xml:space="preserve">Slightly important </t>
        </is>
      </c>
      <c r="CF109" t="n">
        <v>597111959</v>
      </c>
      <c r="CG109" t="inlineStr">
        <is>
          <t>b6b0e01a-8363-43f2-8162-48e2cc2ce113</t>
        </is>
      </c>
      <c r="CH109" s="1" t="n">
        <v>45964.52751157407</v>
      </c>
      <c r="CK109" t="inlineStr">
        <is>
          <t>submitted_via_web</t>
        </is>
      </c>
      <c r="CM109" t="inlineStr">
        <is>
          <t>vteYUDpqfKnk39PHFZkvPS</t>
        </is>
      </c>
      <c r="CO109" t="inlineStr">
        <is>
          <t>uuid:b6b0e01a-8363-43f2-8162-48e2cc2ce113</t>
        </is>
      </c>
      <c r="CP109" t="n">
        <v>108</v>
      </c>
      <c r="CQ109" t="n">
        <v>0</v>
      </c>
      <c r="CR109" t="n">
        <v>-1.487461702037489</v>
      </c>
    </row>
    <row r="110">
      <c r="A110" s="1" t="n">
        <v>45964.76353484954</v>
      </c>
      <c r="B110" s="1" t="n">
        <v>45964.7679634838</v>
      </c>
      <c r="D110" t="inlineStr">
        <is>
          <t>23</t>
        </is>
      </c>
      <c r="E110" t="inlineStr">
        <is>
          <t>Female</t>
        </is>
      </c>
      <c r="F110" t="inlineStr">
        <is>
          <t>Sinhalese</t>
        </is>
      </c>
      <c r="H110" t="inlineStr">
        <is>
          <t>Buddhist</t>
        </is>
      </c>
      <c r="J110" t="inlineStr">
        <is>
          <t>Not employed</t>
        </is>
      </c>
      <c r="L110" t="inlineStr">
        <is>
          <t xml:space="preserve">Undergraduate </t>
        </is>
      </c>
      <c r="M110" t="inlineStr">
        <is>
          <t>Western</t>
        </is>
      </c>
      <c r="N110" t="inlineStr">
        <is>
          <t>Single</t>
        </is>
      </c>
      <c r="P110" t="inlineStr">
        <is>
          <t xml:space="preserve"> I don’t know</t>
        </is>
      </c>
      <c r="R110" s="1" t="n">
        <v>45233</v>
      </c>
      <c r="S110" t="inlineStr">
        <is>
          <t xml:space="preserve">During school/university  </t>
        </is>
      </c>
      <c r="U110" t="inlineStr">
        <is>
          <t>Yes</t>
        </is>
      </c>
      <c r="V110" t="inlineStr">
        <is>
          <t>Thalassemia major (severe form)   Thalassemia minor or trait (carrier form)</t>
        </is>
      </c>
      <c r="W110" t="n">
        <v>1</v>
      </c>
      <c r="X110" t="n">
        <v>1</v>
      </c>
      <c r="Y110" t="n">
        <v>0</v>
      </c>
      <c r="Z110" t="n">
        <v>0</v>
      </c>
      <c r="AA110" t="inlineStr">
        <is>
          <t xml:space="preserve">Thalassemia major (severe form)  </t>
        </is>
      </c>
      <c r="AB110" t="n">
        <v>1</v>
      </c>
      <c r="AC110" t="n">
        <v>0</v>
      </c>
      <c r="AD110" t="n">
        <v>0</v>
      </c>
      <c r="AE110" t="n">
        <v>0</v>
      </c>
      <c r="AF110" t="inlineStr">
        <is>
          <t>Thalassemia minor or trait (carrier form)</t>
        </is>
      </c>
      <c r="AG110" t="n">
        <v>0</v>
      </c>
      <c r="AH110" t="n">
        <v>1</v>
      </c>
      <c r="AI110" t="n">
        <v>0</v>
      </c>
      <c r="AJ110" t="n">
        <v>0</v>
      </c>
      <c r="AK110" t="inlineStr">
        <is>
          <t>Yes</t>
        </is>
      </c>
      <c r="AL110" t="inlineStr">
        <is>
          <t>Very difficult (e.g., bone marrow transplant)</t>
        </is>
      </c>
      <c r="AM110" t="inlineStr">
        <is>
          <t xml:space="preserve">Can be prevented </t>
        </is>
      </c>
      <c r="AN110" t="inlineStr">
        <is>
          <t xml:space="preserve">From generation to generation (hereditary)  </t>
        </is>
      </c>
      <c r="AO110" t="inlineStr">
        <is>
          <t>Healthy</t>
        </is>
      </c>
      <c r="AP110" t="inlineStr">
        <is>
          <t xml:space="preserve">Has a chance to be affected (e.g., 25%) </t>
        </is>
      </c>
      <c r="AQ110" t="inlineStr">
        <is>
          <t xml:space="preserve">Yes </t>
        </is>
      </c>
      <c r="AR110" t="inlineStr">
        <is>
          <t>Don’t know</t>
        </is>
      </c>
      <c r="AS110" t="inlineStr">
        <is>
          <t>Regular blood transfusions for life  Iron overload affecting heart and liver  Risk of infections from transfusions</t>
        </is>
      </c>
      <c r="AT110" t="n">
        <v>1</v>
      </c>
      <c r="AU110" t="n">
        <v>1</v>
      </c>
      <c r="AV110" t="n">
        <v>0</v>
      </c>
      <c r="AW110" t="n">
        <v>0</v>
      </c>
      <c r="AX110" t="n">
        <v>1</v>
      </c>
      <c r="AY110" t="n">
        <v>0</v>
      </c>
      <c r="AZ110" t="n">
        <v>0</v>
      </c>
      <c r="BA110" t="n">
        <v>0</v>
      </c>
      <c r="BB110" t="inlineStr">
        <is>
          <t xml:space="preserve"> Get the partner tested before marriage   Get family members tested </t>
        </is>
      </c>
      <c r="BC110" t="n">
        <v>1</v>
      </c>
      <c r="BD110" t="n">
        <v>1</v>
      </c>
      <c r="BE110" t="n">
        <v>0</v>
      </c>
      <c r="BF110" t="n">
        <v>0</v>
      </c>
      <c r="BG110" t="inlineStr">
        <is>
          <t xml:space="preserve">Healthcare staff (doctors and nurses) </t>
        </is>
      </c>
      <c r="BH110" t="inlineStr">
        <is>
          <t>Definitely not</t>
        </is>
      </c>
      <c r="BI110" t="inlineStr">
        <is>
          <t xml:space="preserve">No </t>
        </is>
      </c>
      <c r="BJ110" t="inlineStr">
        <is>
          <t xml:space="preserve">Very important </t>
        </is>
      </c>
      <c r="BP110" t="inlineStr">
        <is>
          <t xml:space="preserve">Agree </t>
        </is>
      </c>
      <c r="BQ110" t="inlineStr">
        <is>
          <t xml:space="preserve">Yes </t>
        </is>
      </c>
      <c r="BS110" t="inlineStr">
        <is>
          <t>All</t>
        </is>
      </c>
      <c r="BT110" t="inlineStr">
        <is>
          <t>Some</t>
        </is>
      </c>
      <c r="BU110" t="inlineStr">
        <is>
          <t>Some</t>
        </is>
      </c>
      <c r="CD110" t="inlineStr">
        <is>
          <t xml:space="preserve">Difficult </t>
        </is>
      </c>
      <c r="CE110" t="inlineStr">
        <is>
          <t xml:space="preserve">Important </t>
        </is>
      </c>
      <c r="CF110" t="n">
        <v>597127410</v>
      </c>
      <c r="CG110" t="inlineStr">
        <is>
          <t>58eb6ae2-0b00-445e-85b0-76930bf931d4</t>
        </is>
      </c>
      <c r="CH110" s="1" t="n">
        <v>45964.53880787037</v>
      </c>
      <c r="CK110" t="inlineStr">
        <is>
          <t>submitted_via_web</t>
        </is>
      </c>
      <c r="CM110" t="inlineStr">
        <is>
          <t>vteYUDpqfKnk39PHFZkvPS</t>
        </is>
      </c>
      <c r="CO110" t="inlineStr">
        <is>
          <t>uuid:58eb6ae2-0b00-445e-85b0-76930bf931d4</t>
        </is>
      </c>
      <c r="CP110" t="n">
        <v>109</v>
      </c>
      <c r="CQ110" t="n">
        <v>5</v>
      </c>
      <c r="CR110" t="n">
        <v>0.4641035858837596</v>
      </c>
    </row>
    <row r="111">
      <c r="A111" s="1" t="n">
        <v>45964.7566497338</v>
      </c>
      <c r="B111" s="1" t="n">
        <v>45964.78812726852</v>
      </c>
      <c r="D111" t="inlineStr">
        <is>
          <t>28</t>
        </is>
      </c>
      <c r="E111" t="inlineStr">
        <is>
          <t xml:space="preserve">Male </t>
        </is>
      </c>
      <c r="F111" t="inlineStr">
        <is>
          <t>Sinhalese</t>
        </is>
      </c>
      <c r="H111" t="inlineStr">
        <is>
          <t>Buddhist</t>
        </is>
      </c>
      <c r="J111" t="inlineStr">
        <is>
          <t>Government sector</t>
        </is>
      </c>
      <c r="K111" t="inlineStr">
        <is>
          <t>51,000 – 100,000</t>
        </is>
      </c>
      <c r="L111" t="inlineStr">
        <is>
          <t xml:space="preserve">Graduate </t>
        </is>
      </c>
      <c r="M111" t="inlineStr">
        <is>
          <t>Western</t>
        </is>
      </c>
      <c r="N111" t="inlineStr">
        <is>
          <t>Single</t>
        </is>
      </c>
      <c r="P111" t="inlineStr">
        <is>
          <t>No</t>
        </is>
      </c>
      <c r="S111" t="inlineStr">
        <is>
          <t>During community screening</t>
        </is>
      </c>
      <c r="U111" t="inlineStr">
        <is>
          <t>Yes</t>
        </is>
      </c>
      <c r="V111" t="inlineStr">
        <is>
          <t>Thalassemia major (severe form)   Thalassemia minor or trait (carrier form)</t>
        </is>
      </c>
      <c r="W111" t="n">
        <v>1</v>
      </c>
      <c r="X111" t="n">
        <v>1</v>
      </c>
      <c r="Y111" t="n">
        <v>0</v>
      </c>
      <c r="Z111" t="n">
        <v>0</v>
      </c>
      <c r="AA111" t="inlineStr">
        <is>
          <t xml:space="preserve">Thalassemia major (severe form)  </t>
        </is>
      </c>
      <c r="AB111" t="n">
        <v>1</v>
      </c>
      <c r="AC111" t="n">
        <v>0</v>
      </c>
      <c r="AD111" t="n">
        <v>0</v>
      </c>
      <c r="AE111" t="n">
        <v>0</v>
      </c>
      <c r="AF111" t="inlineStr">
        <is>
          <t>Thalassemia minor or trait (carrier form)</t>
        </is>
      </c>
      <c r="AG111" t="n">
        <v>0</v>
      </c>
      <c r="AH111" t="n">
        <v>1</v>
      </c>
      <c r="AI111" t="n">
        <v>0</v>
      </c>
      <c r="AJ111" t="n">
        <v>0</v>
      </c>
      <c r="AK111" t="inlineStr">
        <is>
          <t>Yes</t>
        </is>
      </c>
      <c r="AL111" t="inlineStr">
        <is>
          <t xml:space="preserve">Cannot be cured   </t>
        </is>
      </c>
      <c r="AM111" t="inlineStr">
        <is>
          <t>Cannot be prevented</t>
        </is>
      </c>
      <c r="AN111" t="inlineStr">
        <is>
          <t xml:space="preserve">From generation to generation (hereditary)  </t>
        </is>
      </c>
      <c r="AO111" t="inlineStr">
        <is>
          <t>Healthy</t>
        </is>
      </c>
      <c r="AP111" t="inlineStr">
        <is>
          <t>Always affected by thalassemia</t>
        </is>
      </c>
      <c r="AQ111" t="inlineStr">
        <is>
          <t xml:space="preserve">Yes </t>
        </is>
      </c>
      <c r="AR111" t="inlineStr">
        <is>
          <t>Don’t know</t>
        </is>
      </c>
      <c r="AS111" t="inlineStr">
        <is>
          <t>Regular blood transfusions for life  Iron overload affecting heart and liver  Fatigue</t>
        </is>
      </c>
      <c r="AT111" t="n">
        <v>1</v>
      </c>
      <c r="AU111" t="n">
        <v>1</v>
      </c>
      <c r="AV111" t="n">
        <v>0</v>
      </c>
      <c r="AW111" t="n">
        <v>0</v>
      </c>
      <c r="AX111" t="n">
        <v>0</v>
      </c>
      <c r="AY111" t="n">
        <v>0</v>
      </c>
      <c r="AZ111" t="n">
        <v>1</v>
      </c>
      <c r="BA111" t="n">
        <v>0</v>
      </c>
      <c r="BB111" t="inlineStr">
        <is>
          <t xml:space="preserve"> Get the partner tested before marriage  </t>
        </is>
      </c>
      <c r="BC111" t="n">
        <v>1</v>
      </c>
      <c r="BD111" t="n">
        <v>0</v>
      </c>
      <c r="BE111" t="n">
        <v>0</v>
      </c>
      <c r="BF111" t="n">
        <v>0</v>
      </c>
      <c r="BG111" t="inlineStr">
        <is>
          <t>Only found out after screening</t>
        </is>
      </c>
      <c r="BH111" t="inlineStr">
        <is>
          <t>Definitely not</t>
        </is>
      </c>
      <c r="BI111" t="inlineStr">
        <is>
          <t xml:space="preserve">No </t>
        </is>
      </c>
      <c r="BJ111" t="inlineStr">
        <is>
          <t xml:space="preserve">Important </t>
        </is>
      </c>
      <c r="BP111" t="inlineStr">
        <is>
          <t xml:space="preserve">Agree </t>
        </is>
      </c>
      <c r="BQ111" t="inlineStr">
        <is>
          <t xml:space="preserve">Yes </t>
        </is>
      </c>
      <c r="BS111" t="inlineStr">
        <is>
          <t>All</t>
        </is>
      </c>
      <c r="BT111" t="inlineStr">
        <is>
          <t>None</t>
        </is>
      </c>
      <c r="BU111" t="inlineStr">
        <is>
          <t>None</t>
        </is>
      </c>
      <c r="BV111" t="inlineStr">
        <is>
          <t xml:space="preserve">Lack of knowledge </t>
        </is>
      </c>
      <c r="BW111" t="n">
        <v>1</v>
      </c>
      <c r="BX111" t="n">
        <v>0</v>
      </c>
      <c r="BY111" t="n">
        <v>0</v>
      </c>
      <c r="BZ111" t="n">
        <v>0</v>
      </c>
      <c r="CA111" t="n">
        <v>0</v>
      </c>
      <c r="CB111" t="n">
        <v>0</v>
      </c>
      <c r="CD111" t="inlineStr">
        <is>
          <t>Not sure</t>
        </is>
      </c>
      <c r="CE111" t="inlineStr">
        <is>
          <t xml:space="preserve">Important </t>
        </is>
      </c>
      <c r="CF111" t="n">
        <v>597152354</v>
      </c>
      <c r="CG111" t="inlineStr">
        <is>
          <t>30b27d57-24b5-466a-a101-7c6a33660fd2</t>
        </is>
      </c>
      <c r="CH111" s="1" t="n">
        <v>45964.55898148148</v>
      </c>
      <c r="CK111" t="inlineStr">
        <is>
          <t>submitted_via_web</t>
        </is>
      </c>
      <c r="CM111" t="inlineStr">
        <is>
          <t>vteYUDpqfKnk39PHFZkvPS</t>
        </is>
      </c>
      <c r="CO111" t="inlineStr">
        <is>
          <t>uuid:30b27d57-24b5-466a-a101-7c6a33660fd2</t>
        </is>
      </c>
      <c r="CP111" t="n">
        <v>110</v>
      </c>
      <c r="CQ111" t="n">
        <v>5</v>
      </c>
      <c r="CR111" t="n">
        <v>0.4641035858837596</v>
      </c>
    </row>
    <row r="112">
      <c r="A112" s="1" t="n">
        <v>45964.7881290625</v>
      </c>
      <c r="B112" s="1" t="n">
        <v>45964.79074631944</v>
      </c>
      <c r="D112" t="inlineStr">
        <is>
          <t>29</t>
        </is>
      </c>
      <c r="E112" t="inlineStr">
        <is>
          <t xml:space="preserve">Male </t>
        </is>
      </c>
      <c r="F112" t="inlineStr">
        <is>
          <t>Sinhalese</t>
        </is>
      </c>
      <c r="H112" t="inlineStr">
        <is>
          <t>Buddhist</t>
        </is>
      </c>
      <c r="J112" t="inlineStr">
        <is>
          <t>Private sector</t>
        </is>
      </c>
      <c r="K112" t="inlineStr">
        <is>
          <t>51,000 – 100,000</t>
        </is>
      </c>
      <c r="L112" t="inlineStr">
        <is>
          <t xml:space="preserve">Graduate </t>
        </is>
      </c>
      <c r="M112" t="inlineStr">
        <is>
          <t>Western</t>
        </is>
      </c>
      <c r="N112" t="inlineStr">
        <is>
          <t>Single</t>
        </is>
      </c>
      <c r="P112" t="inlineStr">
        <is>
          <t>No</t>
        </is>
      </c>
      <c r="S112" t="inlineStr">
        <is>
          <t xml:space="preserve">During school/university  </t>
        </is>
      </c>
      <c r="U112" t="inlineStr">
        <is>
          <t>Yes</t>
        </is>
      </c>
      <c r="V112" t="inlineStr">
        <is>
          <t>Thalassemia major (severe form)   Thalassemia minor or trait (carrier form)</t>
        </is>
      </c>
      <c r="W112" t="n">
        <v>1</v>
      </c>
      <c r="X112" t="n">
        <v>1</v>
      </c>
      <c r="Y112" t="n">
        <v>0</v>
      </c>
      <c r="Z112" t="n">
        <v>0</v>
      </c>
      <c r="AA112" t="inlineStr">
        <is>
          <t xml:space="preserve">Thalassemia major (severe form)  </t>
        </is>
      </c>
      <c r="AB112" t="n">
        <v>1</v>
      </c>
      <c r="AC112" t="n">
        <v>0</v>
      </c>
      <c r="AD112" t="n">
        <v>0</v>
      </c>
      <c r="AE112" t="n">
        <v>0</v>
      </c>
      <c r="AF112" t="inlineStr">
        <is>
          <t>Thalassemia minor or trait (carrier form)</t>
        </is>
      </c>
      <c r="AG112" t="n">
        <v>0</v>
      </c>
      <c r="AH112" t="n">
        <v>1</v>
      </c>
      <c r="AI112" t="n">
        <v>0</v>
      </c>
      <c r="AJ112" t="n">
        <v>0</v>
      </c>
      <c r="AK112" t="inlineStr">
        <is>
          <t>Yes</t>
        </is>
      </c>
      <c r="AL112" t="inlineStr">
        <is>
          <t>Very difficult (e.g., bone marrow transplant)</t>
        </is>
      </c>
      <c r="AM112" t="inlineStr">
        <is>
          <t xml:space="preserve">Can be prevented </t>
        </is>
      </c>
      <c r="AN112" t="inlineStr">
        <is>
          <t xml:space="preserve">From generation to generation (hereditary)  </t>
        </is>
      </c>
      <c r="AO112" t="inlineStr">
        <is>
          <t>Healthy</t>
        </is>
      </c>
      <c r="AP112" t="inlineStr">
        <is>
          <t>Always affected by thalassemia</t>
        </is>
      </c>
      <c r="AQ112" t="inlineStr">
        <is>
          <t xml:space="preserve">Yes </t>
        </is>
      </c>
      <c r="AR112" t="inlineStr">
        <is>
          <t>Don’t know</t>
        </is>
      </c>
      <c r="AS112" t="inlineStr">
        <is>
          <t>Regular blood transfusions for life  Iron overload affecting heart and liver  Delayed growth and puberty</t>
        </is>
      </c>
      <c r="AT112" t="n">
        <v>1</v>
      </c>
      <c r="AU112" t="n">
        <v>1</v>
      </c>
      <c r="AV112" t="n">
        <v>1</v>
      </c>
      <c r="AW112" t="n">
        <v>0</v>
      </c>
      <c r="AX112" t="n">
        <v>0</v>
      </c>
      <c r="AY112" t="n">
        <v>0</v>
      </c>
      <c r="AZ112" t="n">
        <v>0</v>
      </c>
      <c r="BA112" t="n">
        <v>0</v>
      </c>
      <c r="BB112" t="inlineStr">
        <is>
          <t xml:space="preserve"> Get the partner tested before marriage  </t>
        </is>
      </c>
      <c r="BC112" t="n">
        <v>1</v>
      </c>
      <c r="BD112" t="n">
        <v>0</v>
      </c>
      <c r="BE112" t="n">
        <v>0</v>
      </c>
      <c r="BF112" t="n">
        <v>0</v>
      </c>
      <c r="BG112" t="inlineStr">
        <is>
          <t>Only found out after screening</t>
        </is>
      </c>
      <c r="BH112" t="inlineStr">
        <is>
          <t xml:space="preserve">Not sure </t>
        </is>
      </c>
      <c r="BI112" t="inlineStr">
        <is>
          <t xml:space="preserve">No </t>
        </is>
      </c>
      <c r="BJ112" t="inlineStr">
        <is>
          <t xml:space="preserve">Very important </t>
        </is>
      </c>
      <c r="BP112" t="inlineStr">
        <is>
          <t xml:space="preserve">Agree </t>
        </is>
      </c>
      <c r="BQ112" t="inlineStr">
        <is>
          <t xml:space="preserve">Yes </t>
        </is>
      </c>
      <c r="BS112" t="inlineStr">
        <is>
          <t>Some</t>
        </is>
      </c>
      <c r="BT112" t="inlineStr">
        <is>
          <t>None</t>
        </is>
      </c>
      <c r="BU112" t="inlineStr">
        <is>
          <t>None</t>
        </is>
      </c>
      <c r="BV112" t="inlineStr">
        <is>
          <t xml:space="preserve">Lack of knowledge </t>
        </is>
      </c>
      <c r="BW112" t="n">
        <v>1</v>
      </c>
      <c r="BX112" t="n">
        <v>0</v>
      </c>
      <c r="BY112" t="n">
        <v>0</v>
      </c>
      <c r="BZ112" t="n">
        <v>0</v>
      </c>
      <c r="CA112" t="n">
        <v>0</v>
      </c>
      <c r="CB112" t="n">
        <v>0</v>
      </c>
      <c r="CD112" t="inlineStr">
        <is>
          <t>Not sure</t>
        </is>
      </c>
      <c r="CE112" t="inlineStr">
        <is>
          <t xml:space="preserve">Important </t>
        </is>
      </c>
      <c r="CF112" t="n">
        <v>597155519</v>
      </c>
      <c r="CG112" t="inlineStr">
        <is>
          <t>0aca054e-4332-4576-8666-e59112e74d22</t>
        </is>
      </c>
      <c r="CH112" s="1" t="n">
        <v>45964.56159722222</v>
      </c>
      <c r="CK112" t="inlineStr">
        <is>
          <t>submitted_via_web</t>
        </is>
      </c>
      <c r="CM112" t="inlineStr">
        <is>
          <t>vteYUDpqfKnk39PHFZkvPS</t>
        </is>
      </c>
      <c r="CO112" t="inlineStr">
        <is>
          <t>uuid:0aca054e-4332-4576-8666-e59112e74d22</t>
        </is>
      </c>
      <c r="CP112" t="n">
        <v>111</v>
      </c>
      <c r="CQ112" t="n">
        <v>5</v>
      </c>
      <c r="CR112" t="n">
        <v>0.4641035858837596</v>
      </c>
    </row>
    <row r="113">
      <c r="A113" s="1" t="n">
        <v>45964.79074706019</v>
      </c>
      <c r="B113" s="1" t="n">
        <v>45964.79503983796</v>
      </c>
      <c r="D113" t="inlineStr">
        <is>
          <t>30</t>
        </is>
      </c>
      <c r="E113" t="inlineStr">
        <is>
          <t xml:space="preserve">Male </t>
        </is>
      </c>
      <c r="F113" t="inlineStr">
        <is>
          <t>Sinhalese</t>
        </is>
      </c>
      <c r="H113" t="inlineStr">
        <is>
          <t>Buddhist</t>
        </is>
      </c>
      <c r="J113" t="inlineStr">
        <is>
          <t>Government sector</t>
        </is>
      </c>
      <c r="K113" t="inlineStr">
        <is>
          <t>51,000 – 100,000</t>
        </is>
      </c>
      <c r="L113" t="inlineStr">
        <is>
          <t xml:space="preserve">Graduate </t>
        </is>
      </c>
      <c r="M113" t="inlineStr">
        <is>
          <t>Western</t>
        </is>
      </c>
      <c r="N113" t="inlineStr">
        <is>
          <t>Single</t>
        </is>
      </c>
      <c r="P113" t="inlineStr">
        <is>
          <t>No</t>
        </is>
      </c>
      <c r="S113" t="inlineStr">
        <is>
          <t xml:space="preserve">During school/university  </t>
        </is>
      </c>
      <c r="U113" t="inlineStr">
        <is>
          <t>Yes</t>
        </is>
      </c>
      <c r="V113" t="inlineStr">
        <is>
          <t>Thalassemia major (severe form)   Thalassemia minor or trait (carrier form)</t>
        </is>
      </c>
      <c r="W113" t="n">
        <v>1</v>
      </c>
      <c r="X113" t="n">
        <v>1</v>
      </c>
      <c r="Y113" t="n">
        <v>0</v>
      </c>
      <c r="Z113" t="n">
        <v>0</v>
      </c>
      <c r="AA113" t="inlineStr">
        <is>
          <t xml:space="preserve">Thalassemia major (severe form)  </t>
        </is>
      </c>
      <c r="AB113" t="n">
        <v>1</v>
      </c>
      <c r="AC113" t="n">
        <v>0</v>
      </c>
      <c r="AD113" t="n">
        <v>0</v>
      </c>
      <c r="AE113" t="n">
        <v>0</v>
      </c>
      <c r="AF113" t="inlineStr">
        <is>
          <t>Thalassemia minor or trait (carrier form)</t>
        </is>
      </c>
      <c r="AG113" t="n">
        <v>0</v>
      </c>
      <c r="AH113" t="n">
        <v>1</v>
      </c>
      <c r="AI113" t="n">
        <v>0</v>
      </c>
      <c r="AJ113" t="n">
        <v>0</v>
      </c>
      <c r="AK113" t="inlineStr">
        <is>
          <t>Yes</t>
        </is>
      </c>
      <c r="AL113" t="inlineStr">
        <is>
          <t xml:space="preserve">Cannot be cured   </t>
        </is>
      </c>
      <c r="AM113" t="inlineStr">
        <is>
          <t xml:space="preserve">Can be prevented </t>
        </is>
      </c>
      <c r="AN113" t="inlineStr">
        <is>
          <t xml:space="preserve">From generation to generation (hereditary)  </t>
        </is>
      </c>
      <c r="AO113" t="inlineStr">
        <is>
          <t>Healthy</t>
        </is>
      </c>
      <c r="AP113" t="inlineStr">
        <is>
          <t>Always affected by thalassemia</t>
        </is>
      </c>
      <c r="AQ113" t="inlineStr">
        <is>
          <t xml:space="preserve">Yes </t>
        </is>
      </c>
      <c r="AR113" t="inlineStr">
        <is>
          <t>Don’t know</t>
        </is>
      </c>
      <c r="AS113" t="inlineStr">
        <is>
          <t>Regular blood transfusions for life  Iron overload affecting heart and liver  Fatigue</t>
        </is>
      </c>
      <c r="AT113" t="n">
        <v>1</v>
      </c>
      <c r="AU113" t="n">
        <v>1</v>
      </c>
      <c r="AV113" t="n">
        <v>0</v>
      </c>
      <c r="AW113" t="n">
        <v>0</v>
      </c>
      <c r="AX113" t="n">
        <v>0</v>
      </c>
      <c r="AY113" t="n">
        <v>0</v>
      </c>
      <c r="AZ113" t="n">
        <v>1</v>
      </c>
      <c r="BA113" t="n">
        <v>0</v>
      </c>
      <c r="BB113" t="inlineStr">
        <is>
          <t xml:space="preserve"> Get the partner tested before marriage  </t>
        </is>
      </c>
      <c r="BC113" t="n">
        <v>1</v>
      </c>
      <c r="BD113" t="n">
        <v>0</v>
      </c>
      <c r="BE113" t="n">
        <v>0</v>
      </c>
      <c r="BF113" t="n">
        <v>0</v>
      </c>
      <c r="BG113" t="inlineStr">
        <is>
          <t>Only found out after screening</t>
        </is>
      </c>
      <c r="BH113" t="inlineStr">
        <is>
          <t>Definitely not</t>
        </is>
      </c>
      <c r="BI113" t="inlineStr">
        <is>
          <t>Not sure</t>
        </is>
      </c>
      <c r="BJ113" t="inlineStr">
        <is>
          <t xml:space="preserve">Very important </t>
        </is>
      </c>
      <c r="BP113" t="inlineStr">
        <is>
          <t xml:space="preserve">Agree </t>
        </is>
      </c>
      <c r="BQ113" t="inlineStr">
        <is>
          <t xml:space="preserve">Yes </t>
        </is>
      </c>
      <c r="BS113" t="inlineStr">
        <is>
          <t>All</t>
        </is>
      </c>
      <c r="BT113" t="inlineStr">
        <is>
          <t>None</t>
        </is>
      </c>
      <c r="BU113" t="inlineStr">
        <is>
          <t>None</t>
        </is>
      </c>
      <c r="BV113" t="inlineStr">
        <is>
          <t xml:space="preserve">Lack of knowledge </t>
        </is>
      </c>
      <c r="BW113" t="n">
        <v>1</v>
      </c>
      <c r="BX113" t="n">
        <v>0</v>
      </c>
      <c r="BY113" t="n">
        <v>0</v>
      </c>
      <c r="BZ113" t="n">
        <v>0</v>
      </c>
      <c r="CA113" t="n">
        <v>0</v>
      </c>
      <c r="CB113" t="n">
        <v>0</v>
      </c>
      <c r="CD113" t="inlineStr">
        <is>
          <t xml:space="preserve">Difficult </t>
        </is>
      </c>
      <c r="CE113" t="inlineStr">
        <is>
          <t xml:space="preserve">Important </t>
        </is>
      </c>
      <c r="CF113" t="n">
        <v>597161341</v>
      </c>
      <c r="CG113" t="inlineStr">
        <is>
          <t>bf7b43f8-0eaa-4a9e-b6c1-8f8a7569b642</t>
        </is>
      </c>
      <c r="CH113" s="1" t="n">
        <v>45964.56590277778</v>
      </c>
      <c r="CK113" t="inlineStr">
        <is>
          <t>submitted_via_web</t>
        </is>
      </c>
      <c r="CM113" t="inlineStr">
        <is>
          <t>vteYUDpqfKnk39PHFZkvPS</t>
        </is>
      </c>
      <c r="CO113" t="inlineStr">
        <is>
          <t>uuid:bf7b43f8-0eaa-4a9e-b6c1-8f8a7569b642</t>
        </is>
      </c>
      <c r="CP113" t="n">
        <v>112</v>
      </c>
      <c r="CQ113" t="n">
        <v>5</v>
      </c>
      <c r="CR113" t="n">
        <v>0.4641035858837596</v>
      </c>
    </row>
    <row r="114">
      <c r="A114" s="1" t="n">
        <v>45964.79504037037</v>
      </c>
      <c r="B114" s="1" t="n">
        <v>45964.79747460648</v>
      </c>
      <c r="D114" t="inlineStr">
        <is>
          <t>33</t>
        </is>
      </c>
      <c r="E114" t="inlineStr">
        <is>
          <t>Female</t>
        </is>
      </c>
      <c r="F114" t="inlineStr">
        <is>
          <t>Sinhalese</t>
        </is>
      </c>
      <c r="H114" t="inlineStr">
        <is>
          <t>Buddhist</t>
        </is>
      </c>
      <c r="J114" t="inlineStr">
        <is>
          <t>Not employed</t>
        </is>
      </c>
      <c r="L114" t="inlineStr">
        <is>
          <t xml:space="preserve">Up to A/L </t>
        </is>
      </c>
      <c r="M114" t="inlineStr">
        <is>
          <t>Western</t>
        </is>
      </c>
      <c r="N114" t="inlineStr">
        <is>
          <t xml:space="preserve">Married </t>
        </is>
      </c>
      <c r="O114" t="inlineStr">
        <is>
          <t xml:space="preserve">Yes, only one child </t>
        </is>
      </c>
      <c r="P114" t="inlineStr">
        <is>
          <t>No</t>
        </is>
      </c>
      <c r="R114" s="1" t="n">
        <v>43656</v>
      </c>
      <c r="S114" t="inlineStr">
        <is>
          <t>During community screening</t>
        </is>
      </c>
      <c r="U114" t="inlineStr">
        <is>
          <t>Yes</t>
        </is>
      </c>
      <c r="V114" t="inlineStr">
        <is>
          <t>I don’t know</t>
        </is>
      </c>
      <c r="W114" t="n">
        <v>0</v>
      </c>
      <c r="X114" t="n">
        <v>0</v>
      </c>
      <c r="Y114" t="n">
        <v>0</v>
      </c>
      <c r="Z114" t="n">
        <v>1</v>
      </c>
      <c r="AA114" t="inlineStr">
        <is>
          <t>I don’t know</t>
        </is>
      </c>
      <c r="AB114" t="n">
        <v>0</v>
      </c>
      <c r="AC114" t="n">
        <v>0</v>
      </c>
      <c r="AD114" t="n">
        <v>0</v>
      </c>
      <c r="AE114" t="n">
        <v>1</v>
      </c>
      <c r="AF114" t="inlineStr">
        <is>
          <t>Thalassemia minor or trait (carrier form)</t>
        </is>
      </c>
      <c r="AG114" t="n">
        <v>0</v>
      </c>
      <c r="AH114" t="n">
        <v>1</v>
      </c>
      <c r="AI114" t="n">
        <v>0</v>
      </c>
      <c r="AJ114" t="n">
        <v>0</v>
      </c>
      <c r="AK114" t="inlineStr">
        <is>
          <t>Don’t know</t>
        </is>
      </c>
      <c r="AL114" t="inlineStr">
        <is>
          <t>Don’t know</t>
        </is>
      </c>
      <c r="AM114" t="inlineStr">
        <is>
          <t>Not sure</t>
        </is>
      </c>
      <c r="AN114" t="inlineStr">
        <is>
          <t>Don’t know</t>
        </is>
      </c>
      <c r="AO114" t="inlineStr">
        <is>
          <t>Healthy</t>
        </is>
      </c>
      <c r="AP114" t="inlineStr">
        <is>
          <t>Don’t know</t>
        </is>
      </c>
      <c r="AQ114" t="inlineStr">
        <is>
          <t xml:space="preserve">Yes </t>
        </is>
      </c>
      <c r="AR114" t="inlineStr">
        <is>
          <t>Don’t know</t>
        </is>
      </c>
      <c r="BB114" t="inlineStr">
        <is>
          <t>I don’t know</t>
        </is>
      </c>
      <c r="BC114" t="n">
        <v>0</v>
      </c>
      <c r="BD114" t="n">
        <v>0</v>
      </c>
      <c r="BE114" t="n">
        <v>0</v>
      </c>
      <c r="BF114" t="n">
        <v>1</v>
      </c>
      <c r="BG114" t="inlineStr">
        <is>
          <t xml:space="preserve">Healthcare staff (doctors and nurses) </t>
        </is>
      </c>
      <c r="BH114" t="inlineStr">
        <is>
          <t>Definitely not</t>
        </is>
      </c>
      <c r="BI114" t="inlineStr">
        <is>
          <t>Not sure</t>
        </is>
      </c>
      <c r="BJ114" t="inlineStr">
        <is>
          <t xml:space="preserve">Not sure </t>
        </is>
      </c>
      <c r="BP114" t="inlineStr">
        <is>
          <t>Don’t know</t>
        </is>
      </c>
      <c r="BQ114" t="inlineStr">
        <is>
          <t xml:space="preserve">Yes </t>
        </is>
      </c>
      <c r="BS114" t="inlineStr">
        <is>
          <t>None</t>
        </is>
      </c>
      <c r="BT114" t="inlineStr">
        <is>
          <t>Don't know</t>
        </is>
      </c>
      <c r="BU114" t="inlineStr">
        <is>
          <t>Don't know</t>
        </is>
      </c>
      <c r="CD114" t="inlineStr">
        <is>
          <t>Not sure</t>
        </is>
      </c>
      <c r="CE114" t="inlineStr">
        <is>
          <t xml:space="preserve">Slightly important </t>
        </is>
      </c>
      <c r="CF114" t="n">
        <v>597164610</v>
      </c>
      <c r="CG114" t="inlineStr">
        <is>
          <t>3c6361d5-879d-4591-924d-ab22d0754d02</t>
        </is>
      </c>
      <c r="CH114" s="1" t="n">
        <v>45964.56833333334</v>
      </c>
      <c r="CK114" t="inlineStr">
        <is>
          <t>submitted_via_web</t>
        </is>
      </c>
      <c r="CM114" t="inlineStr">
        <is>
          <t>vteYUDpqfKnk39PHFZkvPS</t>
        </is>
      </c>
      <c r="CO114" t="inlineStr">
        <is>
          <t>uuid:3c6361d5-879d-4591-924d-ab22d0754d02</t>
        </is>
      </c>
      <c r="CP114" t="n">
        <v>113</v>
      </c>
      <c r="CQ114" t="n">
        <v>0</v>
      </c>
      <c r="CR114" t="n">
        <v>-1.487461702037489</v>
      </c>
    </row>
    <row r="115">
      <c r="A115" s="1" t="n">
        <v>45964.79747516203</v>
      </c>
      <c r="B115" s="1" t="n">
        <v>45964.7997203125</v>
      </c>
      <c r="D115" t="inlineStr">
        <is>
          <t>26</t>
        </is>
      </c>
      <c r="E115" t="inlineStr">
        <is>
          <t>Female</t>
        </is>
      </c>
      <c r="F115" t="inlineStr">
        <is>
          <t>Sinhalese</t>
        </is>
      </c>
      <c r="H115" t="inlineStr">
        <is>
          <t>Buddhist</t>
        </is>
      </c>
      <c r="J115" t="inlineStr">
        <is>
          <t>Not employed</t>
        </is>
      </c>
      <c r="L115" t="inlineStr">
        <is>
          <t xml:space="preserve">Undergraduate </t>
        </is>
      </c>
      <c r="M115" t="inlineStr">
        <is>
          <t>Western</t>
        </is>
      </c>
      <c r="N115" t="inlineStr">
        <is>
          <t>Single</t>
        </is>
      </c>
      <c r="P115" t="inlineStr">
        <is>
          <t>No</t>
        </is>
      </c>
      <c r="S115" t="inlineStr">
        <is>
          <t xml:space="preserve">During school/university  </t>
        </is>
      </c>
      <c r="U115" t="inlineStr">
        <is>
          <t>Yes</t>
        </is>
      </c>
      <c r="V115" t="inlineStr">
        <is>
          <t>Thalassemia major (severe form)   Thalassemia minor or trait (carrier form)</t>
        </is>
      </c>
      <c r="W115" t="n">
        <v>1</v>
      </c>
      <c r="X115" t="n">
        <v>1</v>
      </c>
      <c r="Y115" t="n">
        <v>0</v>
      </c>
      <c r="Z115" t="n">
        <v>0</v>
      </c>
      <c r="AA115" t="inlineStr">
        <is>
          <t xml:space="preserve">Thalassemia major (severe form)  </t>
        </is>
      </c>
      <c r="AB115" t="n">
        <v>1</v>
      </c>
      <c r="AC115" t="n">
        <v>0</v>
      </c>
      <c r="AD115" t="n">
        <v>0</v>
      </c>
      <c r="AE115" t="n">
        <v>0</v>
      </c>
      <c r="AF115" t="inlineStr">
        <is>
          <t>Thalassemia minor or trait (carrier form)</t>
        </is>
      </c>
      <c r="AG115" t="n">
        <v>0</v>
      </c>
      <c r="AH115" t="n">
        <v>1</v>
      </c>
      <c r="AI115" t="n">
        <v>0</v>
      </c>
      <c r="AJ115" t="n">
        <v>0</v>
      </c>
      <c r="AK115" t="inlineStr">
        <is>
          <t>Yes</t>
        </is>
      </c>
      <c r="AL115" t="inlineStr">
        <is>
          <t xml:space="preserve">Cannot be cured   </t>
        </is>
      </c>
      <c r="AM115" t="inlineStr">
        <is>
          <t xml:space="preserve">Can be prevented </t>
        </is>
      </c>
      <c r="AN115" t="inlineStr">
        <is>
          <t xml:space="preserve">From generation to generation (hereditary)  </t>
        </is>
      </c>
      <c r="AO115" t="inlineStr">
        <is>
          <t>Healthy</t>
        </is>
      </c>
      <c r="AP115" t="inlineStr">
        <is>
          <t>Always affected by thalassemia</t>
        </is>
      </c>
      <c r="AQ115" t="inlineStr">
        <is>
          <t xml:space="preserve">Yes </t>
        </is>
      </c>
      <c r="AR115" t="inlineStr">
        <is>
          <t>Don’t know</t>
        </is>
      </c>
      <c r="AS115" t="inlineStr">
        <is>
          <t>Regular blood transfusions for life  Iron overload affecting heart and liver  Fatigue</t>
        </is>
      </c>
      <c r="AT115" t="n">
        <v>1</v>
      </c>
      <c r="AU115" t="n">
        <v>1</v>
      </c>
      <c r="AV115" t="n">
        <v>0</v>
      </c>
      <c r="AW115" t="n">
        <v>0</v>
      </c>
      <c r="AX115" t="n">
        <v>0</v>
      </c>
      <c r="AY115" t="n">
        <v>0</v>
      </c>
      <c r="AZ115" t="n">
        <v>1</v>
      </c>
      <c r="BA115" t="n">
        <v>0</v>
      </c>
      <c r="BB115" t="inlineStr">
        <is>
          <t xml:space="preserve"> Get the partner tested before marriage   Get family members tested </t>
        </is>
      </c>
      <c r="BC115" t="n">
        <v>1</v>
      </c>
      <c r="BD115" t="n">
        <v>1</v>
      </c>
      <c r="BE115" t="n">
        <v>0</v>
      </c>
      <c r="BF115" t="n">
        <v>0</v>
      </c>
      <c r="BG115" t="inlineStr">
        <is>
          <t>Only found out after screening</t>
        </is>
      </c>
      <c r="BH115" t="inlineStr">
        <is>
          <t>Definitely not</t>
        </is>
      </c>
      <c r="BI115" t="inlineStr">
        <is>
          <t xml:space="preserve">No </t>
        </is>
      </c>
      <c r="BJ115" t="inlineStr">
        <is>
          <t xml:space="preserve">Very important </t>
        </is>
      </c>
      <c r="BP115" t="inlineStr">
        <is>
          <t xml:space="preserve">Agree </t>
        </is>
      </c>
      <c r="BQ115" t="inlineStr">
        <is>
          <t xml:space="preserve">Yes </t>
        </is>
      </c>
      <c r="BS115" t="inlineStr">
        <is>
          <t>All</t>
        </is>
      </c>
      <c r="BT115" t="inlineStr">
        <is>
          <t>Some</t>
        </is>
      </c>
      <c r="BU115" t="inlineStr">
        <is>
          <t>Don't know</t>
        </is>
      </c>
      <c r="BV115" t="inlineStr">
        <is>
          <t xml:space="preserve">Lack of knowledge </t>
        </is>
      </c>
      <c r="BW115" t="n">
        <v>1</v>
      </c>
      <c r="BX115" t="n">
        <v>0</v>
      </c>
      <c r="BY115" t="n">
        <v>0</v>
      </c>
      <c r="BZ115" t="n">
        <v>0</v>
      </c>
      <c r="CA115" t="n">
        <v>0</v>
      </c>
      <c r="CB115" t="n">
        <v>0</v>
      </c>
      <c r="CD115" t="inlineStr">
        <is>
          <t xml:space="preserve">Difficult </t>
        </is>
      </c>
      <c r="CE115" t="inlineStr">
        <is>
          <t xml:space="preserve"> Very important</t>
        </is>
      </c>
      <c r="CF115" t="n">
        <v>597167926</v>
      </c>
      <c r="CG115" t="inlineStr">
        <is>
          <t>6b8ba30f-27de-48c2-bc99-80ba9a63d9c2</t>
        </is>
      </c>
      <c r="CH115" s="1" t="n">
        <v>45964.57056712963</v>
      </c>
      <c r="CK115" t="inlineStr">
        <is>
          <t>submitted_via_web</t>
        </is>
      </c>
      <c r="CM115" t="inlineStr">
        <is>
          <t>vteYUDpqfKnk39PHFZkvPS</t>
        </is>
      </c>
      <c r="CO115" t="inlineStr">
        <is>
          <t>uuid:6b8ba30f-27de-48c2-bc99-80ba9a63d9c2</t>
        </is>
      </c>
      <c r="CP115" t="n">
        <v>114</v>
      </c>
      <c r="CQ115" t="n">
        <v>5</v>
      </c>
      <c r="CR115" t="n">
        <v>0.4641035858837596</v>
      </c>
    </row>
    <row r="116">
      <c r="A116" s="1" t="n">
        <v>45964.79972086805</v>
      </c>
      <c r="B116" s="1" t="n">
        <v>45964.80126881944</v>
      </c>
      <c r="D116" t="inlineStr">
        <is>
          <t>24</t>
        </is>
      </c>
      <c r="E116" t="inlineStr">
        <is>
          <t>Female</t>
        </is>
      </c>
      <c r="F116" t="inlineStr">
        <is>
          <t>Sinhalese</t>
        </is>
      </c>
      <c r="H116" t="inlineStr">
        <is>
          <t>Buddhist</t>
        </is>
      </c>
      <c r="J116" t="inlineStr">
        <is>
          <t>Not employed</t>
        </is>
      </c>
      <c r="L116" t="inlineStr">
        <is>
          <t xml:space="preserve">Undergraduate </t>
        </is>
      </c>
      <c r="M116" t="inlineStr">
        <is>
          <t>Western</t>
        </is>
      </c>
      <c r="N116" t="inlineStr">
        <is>
          <t>Single</t>
        </is>
      </c>
      <c r="P116" t="inlineStr">
        <is>
          <t>No</t>
        </is>
      </c>
      <c r="S116" t="inlineStr">
        <is>
          <t xml:space="preserve">During school/university  </t>
        </is>
      </c>
      <c r="U116" t="inlineStr">
        <is>
          <t>Yes</t>
        </is>
      </c>
      <c r="V116" t="inlineStr">
        <is>
          <t>Thalassemia major (severe form)   Thalassemia minor or trait (carrier form)</t>
        </is>
      </c>
      <c r="W116" t="n">
        <v>1</v>
      </c>
      <c r="X116" t="n">
        <v>1</v>
      </c>
      <c r="Y116" t="n">
        <v>0</v>
      </c>
      <c r="Z116" t="n">
        <v>0</v>
      </c>
      <c r="AA116" t="inlineStr">
        <is>
          <t xml:space="preserve">Thalassemia major (severe form)  </t>
        </is>
      </c>
      <c r="AB116" t="n">
        <v>1</v>
      </c>
      <c r="AC116" t="n">
        <v>0</v>
      </c>
      <c r="AD116" t="n">
        <v>0</v>
      </c>
      <c r="AE116" t="n">
        <v>0</v>
      </c>
      <c r="AF116" t="inlineStr">
        <is>
          <t>Thalassemia minor or trait (carrier form)</t>
        </is>
      </c>
      <c r="AG116" t="n">
        <v>0</v>
      </c>
      <c r="AH116" t="n">
        <v>1</v>
      </c>
      <c r="AI116" t="n">
        <v>0</v>
      </c>
      <c r="AJ116" t="n">
        <v>0</v>
      </c>
      <c r="AK116" t="inlineStr">
        <is>
          <t>Yes</t>
        </is>
      </c>
      <c r="AL116" t="inlineStr">
        <is>
          <t xml:space="preserve">Cannot be cured   </t>
        </is>
      </c>
      <c r="AM116" t="inlineStr">
        <is>
          <t xml:space="preserve">Can be prevented </t>
        </is>
      </c>
      <c r="AN116" t="inlineStr">
        <is>
          <t xml:space="preserve">From generation to generation (hereditary)  </t>
        </is>
      </c>
      <c r="AO116" t="inlineStr">
        <is>
          <t>Healthy</t>
        </is>
      </c>
      <c r="AP116" t="inlineStr">
        <is>
          <t>Always affected by thalassemia</t>
        </is>
      </c>
      <c r="AQ116" t="inlineStr">
        <is>
          <t>No</t>
        </is>
      </c>
      <c r="AR116" t="inlineStr">
        <is>
          <t>Don’t know</t>
        </is>
      </c>
      <c r="AS116" t="inlineStr">
        <is>
          <t>Regular blood transfusions for life  Iron overload affecting heart and liver  Fatigue</t>
        </is>
      </c>
      <c r="AT116" t="n">
        <v>1</v>
      </c>
      <c r="AU116" t="n">
        <v>1</v>
      </c>
      <c r="AV116" t="n">
        <v>0</v>
      </c>
      <c r="AW116" t="n">
        <v>0</v>
      </c>
      <c r="AX116" t="n">
        <v>0</v>
      </c>
      <c r="AY116" t="n">
        <v>0</v>
      </c>
      <c r="AZ116" t="n">
        <v>1</v>
      </c>
      <c r="BA116" t="n">
        <v>0</v>
      </c>
      <c r="BB116" t="inlineStr">
        <is>
          <t xml:space="preserve"> Get the partner tested before marriage   Get family members tested </t>
        </is>
      </c>
      <c r="BC116" t="n">
        <v>1</v>
      </c>
      <c r="BD116" t="n">
        <v>1</v>
      </c>
      <c r="BE116" t="n">
        <v>0</v>
      </c>
      <c r="BF116" t="n">
        <v>0</v>
      </c>
      <c r="BG116" t="inlineStr">
        <is>
          <t>Only found out after screening</t>
        </is>
      </c>
      <c r="BH116" t="inlineStr">
        <is>
          <t>Definitely not</t>
        </is>
      </c>
      <c r="BI116" t="inlineStr">
        <is>
          <t xml:space="preserve">No </t>
        </is>
      </c>
      <c r="BJ116" t="inlineStr">
        <is>
          <t xml:space="preserve">Very important </t>
        </is>
      </c>
      <c r="BP116" t="inlineStr">
        <is>
          <t xml:space="preserve">Agree </t>
        </is>
      </c>
      <c r="BQ116" t="inlineStr">
        <is>
          <t xml:space="preserve">Yes </t>
        </is>
      </c>
      <c r="BS116" t="inlineStr">
        <is>
          <t>All</t>
        </is>
      </c>
      <c r="BT116" t="inlineStr">
        <is>
          <t>Some</t>
        </is>
      </c>
      <c r="BU116" t="inlineStr">
        <is>
          <t>Some</t>
        </is>
      </c>
      <c r="BV116" t="inlineStr">
        <is>
          <t xml:space="preserve">Lack of knowledge </t>
        </is>
      </c>
      <c r="BW116" t="n">
        <v>1</v>
      </c>
      <c r="BX116" t="n">
        <v>0</v>
      </c>
      <c r="BY116" t="n">
        <v>0</v>
      </c>
      <c r="BZ116" t="n">
        <v>0</v>
      </c>
      <c r="CA116" t="n">
        <v>0</v>
      </c>
      <c r="CB116" t="n">
        <v>0</v>
      </c>
      <c r="CD116" t="inlineStr">
        <is>
          <t>Not sure</t>
        </is>
      </c>
      <c r="CE116" t="inlineStr">
        <is>
          <t xml:space="preserve"> Very important</t>
        </is>
      </c>
      <c r="CF116" t="n">
        <v>597170008</v>
      </c>
      <c r="CG116" t="inlineStr">
        <is>
          <t>23aa96f7-f682-4fde-8ae2-f081ca58c06e</t>
        </is>
      </c>
      <c r="CH116" s="1" t="n">
        <v>45964.57211805556</v>
      </c>
      <c r="CK116" t="inlineStr">
        <is>
          <t>submitted_via_web</t>
        </is>
      </c>
      <c r="CM116" t="inlineStr">
        <is>
          <t>vteYUDpqfKnk39PHFZkvPS</t>
        </is>
      </c>
      <c r="CO116" t="inlineStr">
        <is>
          <t>uuid:23aa96f7-f682-4fde-8ae2-f081ca58c06e</t>
        </is>
      </c>
      <c r="CP116" t="n">
        <v>115</v>
      </c>
      <c r="CQ116" t="n">
        <v>5</v>
      </c>
      <c r="CR116" t="n">
        <v>0.4641035858837596</v>
      </c>
    </row>
    <row r="117">
      <c r="A117" s="1" t="n">
        <v>45964.81513622685</v>
      </c>
      <c r="B117" s="1" t="n">
        <v>45964.82901244213</v>
      </c>
      <c r="D117" t="inlineStr">
        <is>
          <t>20</t>
        </is>
      </c>
      <c r="E117" t="inlineStr">
        <is>
          <t xml:space="preserve">Male </t>
        </is>
      </c>
      <c r="F117" t="inlineStr">
        <is>
          <t>Sinhalese</t>
        </is>
      </c>
      <c r="H117" t="inlineStr">
        <is>
          <t>Buddhist</t>
        </is>
      </c>
      <c r="J117" t="inlineStr">
        <is>
          <t>Not employed</t>
        </is>
      </c>
      <c r="L117" t="inlineStr">
        <is>
          <t xml:space="preserve">Up to A/L </t>
        </is>
      </c>
      <c r="M117" t="inlineStr">
        <is>
          <t>Western</t>
        </is>
      </c>
      <c r="N117" t="inlineStr">
        <is>
          <t>Single</t>
        </is>
      </c>
      <c r="P117" t="inlineStr">
        <is>
          <t>No</t>
        </is>
      </c>
      <c r="S117" t="inlineStr">
        <is>
          <t xml:space="preserve">During school/university  </t>
        </is>
      </c>
      <c r="U117" t="inlineStr">
        <is>
          <t>Yes</t>
        </is>
      </c>
      <c r="V117" t="inlineStr">
        <is>
          <t>Thalassemia major (severe form)   Thalassemia minor or trait (carrier form)</t>
        </is>
      </c>
      <c r="W117" t="n">
        <v>1</v>
      </c>
      <c r="X117" t="n">
        <v>1</v>
      </c>
      <c r="Y117" t="n">
        <v>0</v>
      </c>
      <c r="Z117" t="n">
        <v>0</v>
      </c>
      <c r="AA117" t="inlineStr">
        <is>
          <t xml:space="preserve">Thalassemia major (severe form)  </t>
        </is>
      </c>
      <c r="AB117" t="n">
        <v>1</v>
      </c>
      <c r="AC117" t="n">
        <v>0</v>
      </c>
      <c r="AD117" t="n">
        <v>0</v>
      </c>
      <c r="AE117" t="n">
        <v>0</v>
      </c>
      <c r="AF117" t="inlineStr">
        <is>
          <t>Thalassemia minor or trait (carrier form)</t>
        </is>
      </c>
      <c r="AG117" t="n">
        <v>0</v>
      </c>
      <c r="AH117" t="n">
        <v>1</v>
      </c>
      <c r="AI117" t="n">
        <v>0</v>
      </c>
      <c r="AJ117" t="n">
        <v>0</v>
      </c>
      <c r="AK117" t="inlineStr">
        <is>
          <t>Don’t know</t>
        </is>
      </c>
      <c r="AL117" t="inlineStr">
        <is>
          <t xml:space="preserve">Cannot be cured   </t>
        </is>
      </c>
      <c r="AM117" t="inlineStr">
        <is>
          <t xml:space="preserve">Can be prevented </t>
        </is>
      </c>
      <c r="AN117" t="inlineStr">
        <is>
          <t xml:space="preserve">From generation to generation (hereditary)  </t>
        </is>
      </c>
      <c r="AO117" t="inlineStr">
        <is>
          <t>Healthy</t>
        </is>
      </c>
      <c r="AP117" t="inlineStr">
        <is>
          <t xml:space="preserve">Has a chance to be affected (e.g., 25%) </t>
        </is>
      </c>
      <c r="AQ117" t="inlineStr">
        <is>
          <t xml:space="preserve">Yes </t>
        </is>
      </c>
      <c r="AR117" t="inlineStr">
        <is>
          <t>Don’t know</t>
        </is>
      </c>
      <c r="AS117" t="inlineStr">
        <is>
          <t xml:space="preserve">Regular blood transfusions for life </t>
        </is>
      </c>
      <c r="AT117" t="n">
        <v>1</v>
      </c>
      <c r="AU117" t="n">
        <v>0</v>
      </c>
      <c r="AV117" t="n">
        <v>0</v>
      </c>
      <c r="AW117" t="n">
        <v>0</v>
      </c>
      <c r="AX117" t="n">
        <v>0</v>
      </c>
      <c r="AY117" t="n">
        <v>0</v>
      </c>
      <c r="AZ117" t="n">
        <v>0</v>
      </c>
      <c r="BA117" t="n">
        <v>0</v>
      </c>
      <c r="BB117" t="inlineStr">
        <is>
          <t xml:space="preserve"> Get the partner tested before marriage   Get family members tested </t>
        </is>
      </c>
      <c r="BC117" t="n">
        <v>1</v>
      </c>
      <c r="BD117" t="n">
        <v>1</v>
      </c>
      <c r="BE117" t="n">
        <v>0</v>
      </c>
      <c r="BF117" t="n">
        <v>0</v>
      </c>
      <c r="BG117" t="inlineStr">
        <is>
          <t>Only found out after screening</t>
        </is>
      </c>
      <c r="BH117" t="inlineStr">
        <is>
          <t>Definitely not</t>
        </is>
      </c>
      <c r="BI117" t="inlineStr">
        <is>
          <t xml:space="preserve">Yes </t>
        </is>
      </c>
      <c r="BJ117" t="inlineStr">
        <is>
          <t xml:space="preserve">Very important </t>
        </is>
      </c>
      <c r="BK117" t="inlineStr">
        <is>
          <t>Other</t>
        </is>
      </c>
      <c r="BL117" t="inlineStr">
        <is>
          <t>Still not married. Will be screen before marriage</t>
        </is>
      </c>
      <c r="BM117" t="inlineStr">
        <is>
          <t>Other</t>
        </is>
      </c>
      <c r="BN117" t="inlineStr">
        <is>
          <t>Still not married. Will be screen before marriage</t>
        </is>
      </c>
      <c r="BP117" t="inlineStr">
        <is>
          <t xml:space="preserve">Agree </t>
        </is>
      </c>
      <c r="BQ117" t="inlineStr">
        <is>
          <t xml:space="preserve">Yes </t>
        </is>
      </c>
      <c r="BS117" t="inlineStr">
        <is>
          <t>Some</t>
        </is>
      </c>
      <c r="BT117" t="inlineStr">
        <is>
          <t>Don't know</t>
        </is>
      </c>
      <c r="BU117" t="inlineStr">
        <is>
          <t>None</t>
        </is>
      </c>
      <c r="BV117" t="inlineStr">
        <is>
          <t xml:space="preserve">Lack of knowledge </t>
        </is>
      </c>
      <c r="BW117" t="n">
        <v>1</v>
      </c>
      <c r="BX117" t="n">
        <v>0</v>
      </c>
      <c r="BY117" t="n">
        <v>0</v>
      </c>
      <c r="BZ117" t="n">
        <v>0</v>
      </c>
      <c r="CA117" t="n">
        <v>0</v>
      </c>
      <c r="CB117" t="n">
        <v>0</v>
      </c>
      <c r="CD117" t="inlineStr">
        <is>
          <t xml:space="preserve">Somewhat easy </t>
        </is>
      </c>
      <c r="CE117" t="inlineStr">
        <is>
          <t xml:space="preserve"> Very important</t>
        </is>
      </c>
      <c r="CF117" t="n">
        <v>597208378</v>
      </c>
      <c r="CG117" t="inlineStr">
        <is>
          <t>dce3134e-28dc-4c6c-ad51-71829148c957</t>
        </is>
      </c>
      <c r="CH117" s="1" t="n">
        <v>45964.59984953704</v>
      </c>
      <c r="CK117" t="inlineStr">
        <is>
          <t>submitted_via_web</t>
        </is>
      </c>
      <c r="CM117" t="inlineStr">
        <is>
          <t>vteYUDpqfKnk39PHFZkvPS</t>
        </is>
      </c>
      <c r="CO117" t="inlineStr">
        <is>
          <t>uuid:dce3134e-28dc-4c6c-ad51-71829148c957</t>
        </is>
      </c>
      <c r="CP117" t="n">
        <v>116</v>
      </c>
      <c r="CQ117" t="n">
        <v>3</v>
      </c>
      <c r="CR117" t="n">
        <v>-0.3165225292847399</v>
      </c>
    </row>
    <row r="118">
      <c r="A118" s="1" t="n">
        <v>45964.80126939815</v>
      </c>
      <c r="B118" s="1" t="n">
        <v>45964.83117715278</v>
      </c>
      <c r="D118" t="inlineStr">
        <is>
          <t>34</t>
        </is>
      </c>
      <c r="E118" t="inlineStr">
        <is>
          <t>Female</t>
        </is>
      </c>
      <c r="F118" t="inlineStr">
        <is>
          <t>Sinhalese</t>
        </is>
      </c>
      <c r="H118" t="inlineStr">
        <is>
          <t>Buddhist</t>
        </is>
      </c>
      <c r="J118" t="inlineStr">
        <is>
          <t>Not employed</t>
        </is>
      </c>
      <c r="L118" t="inlineStr">
        <is>
          <t xml:space="preserve">Up to A/L </t>
        </is>
      </c>
      <c r="M118" t="inlineStr">
        <is>
          <t>Western</t>
        </is>
      </c>
      <c r="N118" t="inlineStr">
        <is>
          <t xml:space="preserve">Married </t>
        </is>
      </c>
      <c r="O118" t="inlineStr">
        <is>
          <t xml:space="preserve">Yes, only one child </t>
        </is>
      </c>
      <c r="P118" t="inlineStr">
        <is>
          <t>No</t>
        </is>
      </c>
      <c r="S118" t="inlineStr">
        <is>
          <t>During community screening</t>
        </is>
      </c>
      <c r="U118" t="inlineStr">
        <is>
          <t>Yes</t>
        </is>
      </c>
      <c r="V118" t="inlineStr">
        <is>
          <t>I don’t know</t>
        </is>
      </c>
      <c r="W118" t="n">
        <v>0</v>
      </c>
      <c r="X118" t="n">
        <v>0</v>
      </c>
      <c r="Y118" t="n">
        <v>0</v>
      </c>
      <c r="Z118" t="n">
        <v>1</v>
      </c>
      <c r="AA118" t="inlineStr">
        <is>
          <t>I don’t know</t>
        </is>
      </c>
      <c r="AB118" t="n">
        <v>0</v>
      </c>
      <c r="AC118" t="n">
        <v>0</v>
      </c>
      <c r="AD118" t="n">
        <v>0</v>
      </c>
      <c r="AE118" t="n">
        <v>1</v>
      </c>
      <c r="AF118" t="inlineStr">
        <is>
          <t>Thalassemia minor or trait (carrier form)</t>
        </is>
      </c>
      <c r="AG118" t="n">
        <v>0</v>
      </c>
      <c r="AH118" t="n">
        <v>1</v>
      </c>
      <c r="AI118" t="n">
        <v>0</v>
      </c>
      <c r="AJ118" t="n">
        <v>0</v>
      </c>
      <c r="AK118" t="inlineStr">
        <is>
          <t>Yes</t>
        </is>
      </c>
      <c r="AL118" t="inlineStr">
        <is>
          <t xml:space="preserve">Cannot be cured   </t>
        </is>
      </c>
      <c r="AM118" t="inlineStr">
        <is>
          <t>Not sure</t>
        </is>
      </c>
      <c r="AN118" t="inlineStr">
        <is>
          <t xml:space="preserve">From generation to generation (hereditary)  </t>
        </is>
      </c>
      <c r="AO118" t="inlineStr">
        <is>
          <t>Healthy</t>
        </is>
      </c>
      <c r="AP118" t="inlineStr">
        <is>
          <t>Always affected by thalassemia</t>
        </is>
      </c>
      <c r="AQ118" t="inlineStr">
        <is>
          <t xml:space="preserve">Yes </t>
        </is>
      </c>
      <c r="AR118" t="inlineStr">
        <is>
          <t>Don’t know</t>
        </is>
      </c>
      <c r="AS118" t="inlineStr">
        <is>
          <t xml:space="preserve">Regular blood transfusions for life </t>
        </is>
      </c>
      <c r="AT118" t="n">
        <v>1</v>
      </c>
      <c r="AU118" t="n">
        <v>0</v>
      </c>
      <c r="AV118" t="n">
        <v>0</v>
      </c>
      <c r="AW118" t="n">
        <v>0</v>
      </c>
      <c r="AX118" t="n">
        <v>0</v>
      </c>
      <c r="AY118" t="n">
        <v>0</v>
      </c>
      <c r="AZ118" t="n">
        <v>0</v>
      </c>
      <c r="BA118" t="n">
        <v>0</v>
      </c>
      <c r="BB118" t="inlineStr">
        <is>
          <t xml:space="preserve"> Get the partner tested before marriage   Get family members tested </t>
        </is>
      </c>
      <c r="BC118" t="n">
        <v>1</v>
      </c>
      <c r="BD118" t="n">
        <v>1</v>
      </c>
      <c r="BE118" t="n">
        <v>0</v>
      </c>
      <c r="BF118" t="n">
        <v>0</v>
      </c>
      <c r="BG118" t="inlineStr">
        <is>
          <t>Only found out after screening</t>
        </is>
      </c>
      <c r="BH118" t="inlineStr">
        <is>
          <t>Definitely not</t>
        </is>
      </c>
      <c r="BI118" t="inlineStr">
        <is>
          <t xml:space="preserve">No </t>
        </is>
      </c>
      <c r="BJ118" t="inlineStr">
        <is>
          <t xml:space="preserve">Important </t>
        </is>
      </c>
      <c r="BK118" t="inlineStr">
        <is>
          <t>Partner was screened before marriage</t>
        </is>
      </c>
      <c r="BP118" t="inlineStr">
        <is>
          <t xml:space="preserve">Agree </t>
        </is>
      </c>
      <c r="BQ118" t="inlineStr">
        <is>
          <t xml:space="preserve">Yes </t>
        </is>
      </c>
      <c r="BS118" t="inlineStr">
        <is>
          <t>All</t>
        </is>
      </c>
      <c r="BT118" t="inlineStr">
        <is>
          <t>None</t>
        </is>
      </c>
      <c r="BU118" t="inlineStr">
        <is>
          <t>None</t>
        </is>
      </c>
      <c r="CD118" t="inlineStr">
        <is>
          <t xml:space="preserve">Somewhat easy </t>
        </is>
      </c>
      <c r="CE118" t="inlineStr">
        <is>
          <t xml:space="preserve">Important </t>
        </is>
      </c>
      <c r="CF118" t="n">
        <v>597210976</v>
      </c>
      <c r="CG118" t="inlineStr">
        <is>
          <t>5532e8fe-a464-480e-bd0e-175ab0725fec</t>
        </is>
      </c>
      <c r="CH118" s="1" t="n">
        <v>45964.60202546296</v>
      </c>
      <c r="CK118" t="inlineStr">
        <is>
          <t>submitted_via_web</t>
        </is>
      </c>
      <c r="CM118" t="inlineStr">
        <is>
          <t>vteYUDpqfKnk39PHFZkvPS</t>
        </is>
      </c>
      <c r="CO118" t="inlineStr">
        <is>
          <t>uuid:5532e8fe-a464-480e-bd0e-175ab0725fec</t>
        </is>
      </c>
      <c r="CP118" t="n">
        <v>117</v>
      </c>
      <c r="CQ118" t="n">
        <v>1</v>
      </c>
      <c r="CR118" t="n">
        <v>-1.097148644453239</v>
      </c>
    </row>
    <row r="119">
      <c r="A119" s="1" t="n">
        <v>45964.82901398148</v>
      </c>
      <c r="B119" s="1" t="n">
        <v>45964.83342923611</v>
      </c>
      <c r="D119" t="inlineStr">
        <is>
          <t>20</t>
        </is>
      </c>
      <c r="E119" t="inlineStr">
        <is>
          <t>Female</t>
        </is>
      </c>
      <c r="F119" t="inlineStr">
        <is>
          <t>Sinhalese</t>
        </is>
      </c>
      <c r="H119" t="inlineStr">
        <is>
          <t>Roman Catholic</t>
        </is>
      </c>
      <c r="J119" t="inlineStr">
        <is>
          <t>Not employed</t>
        </is>
      </c>
      <c r="L119" t="inlineStr">
        <is>
          <t xml:space="preserve">Up to A/L </t>
        </is>
      </c>
      <c r="M119" t="inlineStr">
        <is>
          <t>Western</t>
        </is>
      </c>
      <c r="N119" t="inlineStr">
        <is>
          <t>Single</t>
        </is>
      </c>
      <c r="P119" t="inlineStr">
        <is>
          <t>No</t>
        </is>
      </c>
      <c r="S119" t="inlineStr">
        <is>
          <t xml:space="preserve">During school/university  </t>
        </is>
      </c>
      <c r="U119" t="inlineStr">
        <is>
          <t xml:space="preserve">No </t>
        </is>
      </c>
      <c r="V119" t="inlineStr">
        <is>
          <t>Thalassemia major (severe form)   Thalassemia minor or trait (carrier form)</t>
        </is>
      </c>
      <c r="W119" t="n">
        <v>1</v>
      </c>
      <c r="X119" t="n">
        <v>1</v>
      </c>
      <c r="Y119" t="n">
        <v>0</v>
      </c>
      <c r="Z119" t="n">
        <v>0</v>
      </c>
      <c r="AA119" t="inlineStr">
        <is>
          <t xml:space="preserve">Thalassemia major (severe form)  </t>
        </is>
      </c>
      <c r="AB119" t="n">
        <v>1</v>
      </c>
      <c r="AC119" t="n">
        <v>0</v>
      </c>
      <c r="AD119" t="n">
        <v>0</v>
      </c>
      <c r="AE119" t="n">
        <v>0</v>
      </c>
      <c r="AF119" t="inlineStr">
        <is>
          <t>Thalassemia minor or trait (carrier form)</t>
        </is>
      </c>
      <c r="AG119" t="n">
        <v>0</v>
      </c>
      <c r="AH119" t="n">
        <v>1</v>
      </c>
      <c r="AI119" t="n">
        <v>0</v>
      </c>
      <c r="AJ119" t="n">
        <v>0</v>
      </c>
      <c r="AK119" t="inlineStr">
        <is>
          <t>Don’t know</t>
        </is>
      </c>
      <c r="AL119" t="inlineStr">
        <is>
          <t xml:space="preserve">Cannot be cured   </t>
        </is>
      </c>
      <c r="AM119" t="inlineStr">
        <is>
          <t xml:space="preserve">Can be prevented </t>
        </is>
      </c>
      <c r="AN119" t="inlineStr">
        <is>
          <t xml:space="preserve">From generation to generation (hereditary)  </t>
        </is>
      </c>
      <c r="AO119" t="inlineStr">
        <is>
          <t>Healthy</t>
        </is>
      </c>
      <c r="AP119" t="inlineStr">
        <is>
          <t xml:space="preserve">Has a chance to be affected (e.g., 25%) </t>
        </is>
      </c>
      <c r="AQ119" t="inlineStr">
        <is>
          <t xml:space="preserve">Yes </t>
        </is>
      </c>
      <c r="AR119" t="inlineStr">
        <is>
          <t>Don’t know</t>
        </is>
      </c>
      <c r="AS119" t="inlineStr">
        <is>
          <t xml:space="preserve">Regular blood transfusions for life </t>
        </is>
      </c>
      <c r="AT119" t="n">
        <v>1</v>
      </c>
      <c r="AU119" t="n">
        <v>0</v>
      </c>
      <c r="AV119" t="n">
        <v>0</v>
      </c>
      <c r="AW119" t="n">
        <v>0</v>
      </c>
      <c r="AX119" t="n">
        <v>0</v>
      </c>
      <c r="AY119" t="n">
        <v>0</v>
      </c>
      <c r="AZ119" t="n">
        <v>0</v>
      </c>
      <c r="BA119" t="n">
        <v>0</v>
      </c>
      <c r="BB119" t="inlineStr">
        <is>
          <t xml:space="preserve"> Get the partner tested before marriage   Get family members tested </t>
        </is>
      </c>
      <c r="BC119" t="n">
        <v>1</v>
      </c>
      <c r="BD119" t="n">
        <v>1</v>
      </c>
      <c r="BE119" t="n">
        <v>0</v>
      </c>
      <c r="BF119" t="n">
        <v>0</v>
      </c>
      <c r="BG119" t="inlineStr">
        <is>
          <t xml:space="preserve">School  </t>
        </is>
      </c>
      <c r="BH119" t="inlineStr">
        <is>
          <t>Definitely not</t>
        </is>
      </c>
      <c r="BI119" t="inlineStr">
        <is>
          <t xml:space="preserve">No </t>
        </is>
      </c>
      <c r="BJ119" t="inlineStr">
        <is>
          <t xml:space="preserve">Very important </t>
        </is>
      </c>
      <c r="BK119" t="inlineStr">
        <is>
          <t>Other</t>
        </is>
      </c>
      <c r="BL119" t="inlineStr">
        <is>
          <t>Still not married. Will be screen before marriage</t>
        </is>
      </c>
      <c r="BM119" t="inlineStr">
        <is>
          <t>Other</t>
        </is>
      </c>
      <c r="BN119" t="inlineStr">
        <is>
          <t>Still not married. Will be screen before marriage</t>
        </is>
      </c>
      <c r="BP119" t="inlineStr">
        <is>
          <t xml:space="preserve">Agree </t>
        </is>
      </c>
      <c r="BQ119" t="inlineStr">
        <is>
          <t xml:space="preserve">Yes </t>
        </is>
      </c>
      <c r="BS119" t="inlineStr">
        <is>
          <t>Some</t>
        </is>
      </c>
      <c r="BT119" t="inlineStr">
        <is>
          <t>Don't know</t>
        </is>
      </c>
      <c r="BU119" t="inlineStr">
        <is>
          <t>None</t>
        </is>
      </c>
      <c r="BV119" t="inlineStr">
        <is>
          <t>Lack of knowledge  Concern about stigma or discrimination Perception that screening was unnecessary</t>
        </is>
      </c>
      <c r="BW119" t="n">
        <v>1</v>
      </c>
      <c r="BX119" t="n">
        <v>1</v>
      </c>
      <c r="BY119" t="n">
        <v>0</v>
      </c>
      <c r="BZ119" t="n">
        <v>1</v>
      </c>
      <c r="CA119" t="n">
        <v>0</v>
      </c>
      <c r="CB119" t="n">
        <v>0</v>
      </c>
      <c r="CD119" t="inlineStr">
        <is>
          <t xml:space="preserve">Difficult </t>
        </is>
      </c>
      <c r="CE119" t="inlineStr">
        <is>
          <t xml:space="preserve"> Very important</t>
        </is>
      </c>
      <c r="CF119" t="n">
        <v>597214061</v>
      </c>
      <c r="CG119" t="inlineStr">
        <is>
          <t>a79cd76d-e105-44fe-84b8-79ff2591be16</t>
        </is>
      </c>
      <c r="CH119" s="1" t="n">
        <v>45964.60427083333</v>
      </c>
      <c r="CK119" t="inlineStr">
        <is>
          <t>submitted_via_web</t>
        </is>
      </c>
      <c r="CM119" t="inlineStr">
        <is>
          <t>vteYUDpqfKnk39PHFZkvPS</t>
        </is>
      </c>
      <c r="CO119" t="inlineStr">
        <is>
          <t>uuid:a79cd76d-e105-44fe-84b8-79ff2591be16</t>
        </is>
      </c>
      <c r="CP119" t="n">
        <v>118</v>
      </c>
      <c r="CQ119" t="n">
        <v>3</v>
      </c>
      <c r="CR119" t="n">
        <v>-0.3165225292847399</v>
      </c>
    </row>
    <row r="120">
      <c r="A120" s="1" t="n">
        <v>45964.83343034722</v>
      </c>
      <c r="B120" s="1" t="n">
        <v>45964.87600503472</v>
      </c>
      <c r="D120" t="inlineStr">
        <is>
          <t>24</t>
        </is>
      </c>
      <c r="E120" t="inlineStr">
        <is>
          <t xml:space="preserve">Male </t>
        </is>
      </c>
      <c r="F120" t="inlineStr">
        <is>
          <t>Sinhalese</t>
        </is>
      </c>
      <c r="H120" t="inlineStr">
        <is>
          <t>Buddhist</t>
        </is>
      </c>
      <c r="J120" t="inlineStr">
        <is>
          <t>Private sector</t>
        </is>
      </c>
      <c r="K120" t="inlineStr">
        <is>
          <t>51,000 – 100,000</t>
        </is>
      </c>
      <c r="L120" t="inlineStr">
        <is>
          <t xml:space="preserve">Up to A/L </t>
        </is>
      </c>
      <c r="M120" t="inlineStr">
        <is>
          <t>Western</t>
        </is>
      </c>
      <c r="N120" t="inlineStr">
        <is>
          <t>Single</t>
        </is>
      </c>
      <c r="P120" t="inlineStr">
        <is>
          <t>No</t>
        </is>
      </c>
      <c r="S120" t="inlineStr">
        <is>
          <t xml:space="preserve">During school/university  </t>
        </is>
      </c>
      <c r="U120" t="inlineStr">
        <is>
          <t>Yes</t>
        </is>
      </c>
      <c r="V120" t="inlineStr">
        <is>
          <t>Thalassemia major (severe form)   Thalassemia minor or trait (carrier form)</t>
        </is>
      </c>
      <c r="W120" t="n">
        <v>1</v>
      </c>
      <c r="X120" t="n">
        <v>1</v>
      </c>
      <c r="Y120" t="n">
        <v>0</v>
      </c>
      <c r="Z120" t="n">
        <v>0</v>
      </c>
      <c r="AA120" t="inlineStr">
        <is>
          <t xml:space="preserve">Thalassemia major (severe form)  </t>
        </is>
      </c>
      <c r="AB120" t="n">
        <v>1</v>
      </c>
      <c r="AC120" t="n">
        <v>0</v>
      </c>
      <c r="AD120" t="n">
        <v>0</v>
      </c>
      <c r="AE120" t="n">
        <v>0</v>
      </c>
      <c r="AF120" t="inlineStr">
        <is>
          <t>Thalassemia minor or trait (carrier form)</t>
        </is>
      </c>
      <c r="AG120" t="n">
        <v>0</v>
      </c>
      <c r="AH120" t="n">
        <v>1</v>
      </c>
      <c r="AI120" t="n">
        <v>0</v>
      </c>
      <c r="AJ120" t="n">
        <v>0</v>
      </c>
      <c r="AK120" t="inlineStr">
        <is>
          <t>Don’t know</t>
        </is>
      </c>
      <c r="AL120" t="inlineStr">
        <is>
          <t>Don’t know</t>
        </is>
      </c>
      <c r="AM120" t="inlineStr">
        <is>
          <t xml:space="preserve">Can be prevented </t>
        </is>
      </c>
      <c r="AN120" t="inlineStr">
        <is>
          <t xml:space="preserve">From generation to generation (hereditary)  </t>
        </is>
      </c>
      <c r="AO120" t="inlineStr">
        <is>
          <t>Healthy</t>
        </is>
      </c>
      <c r="AP120" t="inlineStr">
        <is>
          <t xml:space="preserve">Has a chance to be affected (e.g., 25%) </t>
        </is>
      </c>
      <c r="AQ120" t="inlineStr">
        <is>
          <t xml:space="preserve">Yes </t>
        </is>
      </c>
      <c r="AR120" t="inlineStr">
        <is>
          <t>Don’t know</t>
        </is>
      </c>
      <c r="AS120" t="inlineStr">
        <is>
          <t xml:space="preserve">Regular blood transfusions for life </t>
        </is>
      </c>
      <c r="AT120" t="n">
        <v>1</v>
      </c>
      <c r="AU120" t="n">
        <v>0</v>
      </c>
      <c r="AV120" t="n">
        <v>0</v>
      </c>
      <c r="AW120" t="n">
        <v>0</v>
      </c>
      <c r="AX120" t="n">
        <v>0</v>
      </c>
      <c r="AY120" t="n">
        <v>0</v>
      </c>
      <c r="AZ120" t="n">
        <v>0</v>
      </c>
      <c r="BA120" t="n">
        <v>0</v>
      </c>
      <c r="BB120" t="inlineStr">
        <is>
          <t xml:space="preserve"> Get the partner tested before marriage   Get family members tested </t>
        </is>
      </c>
      <c r="BC120" t="n">
        <v>1</v>
      </c>
      <c r="BD120" t="n">
        <v>1</v>
      </c>
      <c r="BE120" t="n">
        <v>0</v>
      </c>
      <c r="BF120" t="n">
        <v>0</v>
      </c>
      <c r="BG120" t="inlineStr">
        <is>
          <t xml:space="preserve">School  </t>
        </is>
      </c>
      <c r="BH120" t="inlineStr">
        <is>
          <t>Definitely not</t>
        </is>
      </c>
      <c r="BI120" t="inlineStr">
        <is>
          <t xml:space="preserve">No </t>
        </is>
      </c>
      <c r="BJ120" t="inlineStr">
        <is>
          <t xml:space="preserve">Very important </t>
        </is>
      </c>
      <c r="BK120" t="inlineStr">
        <is>
          <t>Other</t>
        </is>
      </c>
      <c r="BL120" t="inlineStr">
        <is>
          <t>Still not married. Will be screen before marriage</t>
        </is>
      </c>
      <c r="BM120" t="inlineStr">
        <is>
          <t>Other</t>
        </is>
      </c>
      <c r="BN120" t="inlineStr">
        <is>
          <t>Still not married. Will be screen before marriage</t>
        </is>
      </c>
      <c r="BP120" t="inlineStr">
        <is>
          <t xml:space="preserve">Agree </t>
        </is>
      </c>
      <c r="BQ120" t="inlineStr">
        <is>
          <t xml:space="preserve">Yes </t>
        </is>
      </c>
      <c r="BS120" t="inlineStr">
        <is>
          <t>Some</t>
        </is>
      </c>
      <c r="BT120" t="inlineStr">
        <is>
          <t>None</t>
        </is>
      </c>
      <c r="BU120" t="inlineStr">
        <is>
          <t>None</t>
        </is>
      </c>
      <c r="BV120" t="inlineStr">
        <is>
          <t xml:space="preserve">Lack of knowledge </t>
        </is>
      </c>
      <c r="BW120" t="n">
        <v>1</v>
      </c>
      <c r="BX120" t="n">
        <v>0</v>
      </c>
      <c r="BY120" t="n">
        <v>0</v>
      </c>
      <c r="BZ120" t="n">
        <v>0</v>
      </c>
      <c r="CA120" t="n">
        <v>0</v>
      </c>
      <c r="CB120" t="n">
        <v>0</v>
      </c>
      <c r="CD120" t="inlineStr">
        <is>
          <t xml:space="preserve">Somewhat easy </t>
        </is>
      </c>
      <c r="CE120" t="inlineStr">
        <is>
          <t xml:space="preserve"> Very important</t>
        </is>
      </c>
      <c r="CF120" t="n">
        <v>597267027</v>
      </c>
      <c r="CG120" t="inlineStr">
        <is>
          <t>ceff6d20-7234-4f2f-83b4-9a96140ca514</t>
        </is>
      </c>
      <c r="CH120" s="1" t="n">
        <v>45964.64685185185</v>
      </c>
      <c r="CK120" t="inlineStr">
        <is>
          <t>submitted_via_web</t>
        </is>
      </c>
      <c r="CM120" t="inlineStr">
        <is>
          <t>vteYUDpqfKnk39PHFZkvPS</t>
        </is>
      </c>
      <c r="CO120" t="inlineStr">
        <is>
          <t>uuid:ceff6d20-7234-4f2f-83b4-9a96140ca514</t>
        </is>
      </c>
      <c r="CP120" t="n">
        <v>119</v>
      </c>
      <c r="CQ120" t="n">
        <v>3</v>
      </c>
      <c r="CR120" t="n">
        <v>-0.3165225292847399</v>
      </c>
    </row>
    <row r="121">
      <c r="A121" s="1" t="n">
        <v>45965.2570337037</v>
      </c>
      <c r="B121" s="1" t="n">
        <v>45965.26892806713</v>
      </c>
      <c r="D121" t="inlineStr">
        <is>
          <t>31 yrs</t>
        </is>
      </c>
      <c r="E121" t="inlineStr">
        <is>
          <t>Female</t>
        </is>
      </c>
      <c r="F121" t="inlineStr">
        <is>
          <t>Sinhalese</t>
        </is>
      </c>
      <c r="H121" t="inlineStr">
        <is>
          <t>Buddhist</t>
        </is>
      </c>
      <c r="J121" t="inlineStr">
        <is>
          <t>Government sector</t>
        </is>
      </c>
      <c r="K121" t="inlineStr">
        <is>
          <t>&gt; 100,000</t>
        </is>
      </c>
      <c r="L121" t="inlineStr">
        <is>
          <t xml:space="preserve">Undergraduate </t>
        </is>
      </c>
      <c r="M121" t="inlineStr">
        <is>
          <t>Western</t>
        </is>
      </c>
      <c r="N121" t="inlineStr">
        <is>
          <t>Single</t>
        </is>
      </c>
      <c r="P121" t="inlineStr">
        <is>
          <t xml:space="preserve"> Yes </t>
        </is>
      </c>
      <c r="Q121" t="inlineStr">
        <is>
          <t>Thalasemia</t>
        </is>
      </c>
      <c r="R121" s="1" t="n">
        <v>45965</v>
      </c>
      <c r="S121" t="inlineStr">
        <is>
          <t xml:space="preserve">During school/university  </t>
        </is>
      </c>
      <c r="U121" t="inlineStr">
        <is>
          <t>Yes</t>
        </is>
      </c>
      <c r="V121" t="inlineStr">
        <is>
          <t xml:space="preserve">Thalassemia major (severe form)   Thalassemia minor or trait (carrier form) Thalassemia intermedia (moderate form) </t>
        </is>
      </c>
      <c r="W121" t="n">
        <v>1</v>
      </c>
      <c r="X121" t="n">
        <v>1</v>
      </c>
      <c r="Y121" t="n">
        <v>1</v>
      </c>
      <c r="Z121" t="n">
        <v>0</v>
      </c>
      <c r="AA121" t="inlineStr">
        <is>
          <t xml:space="preserve">Thalassemia major (severe form)  </t>
        </is>
      </c>
      <c r="AB121" t="n">
        <v>1</v>
      </c>
      <c r="AC121" t="n">
        <v>0</v>
      </c>
      <c r="AD121" t="n">
        <v>0</v>
      </c>
      <c r="AE121" t="n">
        <v>0</v>
      </c>
      <c r="AF121" t="inlineStr">
        <is>
          <t>Thalassemia minor or trait (carrier form)</t>
        </is>
      </c>
      <c r="AG121" t="n">
        <v>0</v>
      </c>
      <c r="AH121" t="n">
        <v>1</v>
      </c>
      <c r="AI121" t="n">
        <v>0</v>
      </c>
      <c r="AJ121" t="n">
        <v>0</v>
      </c>
      <c r="AK121" t="inlineStr">
        <is>
          <t>Yes</t>
        </is>
      </c>
      <c r="AL121" t="inlineStr">
        <is>
          <t>Very difficult (e.g., bone marrow transplant)</t>
        </is>
      </c>
      <c r="AM121" t="inlineStr">
        <is>
          <t xml:space="preserve">Can be prevented </t>
        </is>
      </c>
      <c r="AN121" t="inlineStr">
        <is>
          <t xml:space="preserve">From generation to generation (hereditary)  </t>
        </is>
      </c>
      <c r="AO121" t="inlineStr">
        <is>
          <t>Healthy</t>
        </is>
      </c>
      <c r="AP121" t="inlineStr">
        <is>
          <t xml:space="preserve">Has a chance to be affected (e.g., 25%) </t>
        </is>
      </c>
      <c r="AQ121" t="inlineStr">
        <is>
          <t>No</t>
        </is>
      </c>
      <c r="AR121" t="inlineStr">
        <is>
          <t>Don’t know</t>
        </is>
      </c>
      <c r="AS121" t="inlineStr">
        <is>
          <t>Regular blood transfusions for life  Iron overload affecting heart and liver  Delayed growth and puberty Risk of diabetes, infertility, and hormonal issues  Risk of infections from transfusions Frequent nosebleeds Fatigue Bone deformities</t>
        </is>
      </c>
      <c r="AT121" t="n">
        <v>1</v>
      </c>
      <c r="AU121" t="n">
        <v>1</v>
      </c>
      <c r="AV121" t="n">
        <v>1</v>
      </c>
      <c r="AW121" t="n">
        <v>1</v>
      </c>
      <c r="AX121" t="n">
        <v>1</v>
      </c>
      <c r="AY121" t="n">
        <v>1</v>
      </c>
      <c r="AZ121" t="n">
        <v>1</v>
      </c>
      <c r="BA121" t="n">
        <v>1</v>
      </c>
      <c r="BB121" t="inlineStr">
        <is>
          <t xml:space="preserve"> Get the partner tested before marriage   Get family members tested </t>
        </is>
      </c>
      <c r="BC121" t="n">
        <v>1</v>
      </c>
      <c r="BD121" t="n">
        <v>1</v>
      </c>
      <c r="BE121" t="n">
        <v>0</v>
      </c>
      <c r="BF121" t="n">
        <v>0</v>
      </c>
      <c r="BG121" t="inlineStr">
        <is>
          <t xml:space="preserve">Healthcare staff (doctors and nurses) </t>
        </is>
      </c>
      <c r="BH121" t="inlineStr">
        <is>
          <t>Definitely not</t>
        </is>
      </c>
      <c r="BI121" t="inlineStr">
        <is>
          <t xml:space="preserve">No </t>
        </is>
      </c>
      <c r="BJ121" t="inlineStr">
        <is>
          <t xml:space="preserve">Very important </t>
        </is>
      </c>
      <c r="BK121" t="inlineStr">
        <is>
          <t>Other</t>
        </is>
      </c>
      <c r="BL121" t="inlineStr">
        <is>
          <t>Will screen</t>
        </is>
      </c>
      <c r="BM121" t="inlineStr">
        <is>
          <t xml:space="preserve"> Fear of rejection</t>
        </is>
      </c>
      <c r="BP121" t="inlineStr">
        <is>
          <t xml:space="preserve">Agree </t>
        </is>
      </c>
      <c r="BQ121" t="inlineStr">
        <is>
          <t xml:space="preserve">Yes </t>
        </is>
      </c>
      <c r="BS121" t="inlineStr">
        <is>
          <t>Don't know</t>
        </is>
      </c>
      <c r="BT121" t="inlineStr">
        <is>
          <t>All</t>
        </is>
      </c>
      <c r="BU121" t="inlineStr">
        <is>
          <t>Some</t>
        </is>
      </c>
      <c r="BV121" t="inlineStr">
        <is>
          <t xml:space="preserve">Lack of knowledge </t>
        </is>
      </c>
      <c r="BW121" t="n">
        <v>1</v>
      </c>
      <c r="BX121" t="n">
        <v>0</v>
      </c>
      <c r="BY121" t="n">
        <v>0</v>
      </c>
      <c r="BZ121" t="n">
        <v>0</v>
      </c>
      <c r="CA121" t="n">
        <v>0</v>
      </c>
      <c r="CB121" t="n">
        <v>0</v>
      </c>
      <c r="CD121" t="inlineStr">
        <is>
          <t xml:space="preserve">Somewhat easy </t>
        </is>
      </c>
      <c r="CE121" t="inlineStr">
        <is>
          <t xml:space="preserve"> Very important</t>
        </is>
      </c>
      <c r="CF121" t="n">
        <v>597528193</v>
      </c>
      <c r="CG121" t="inlineStr">
        <is>
          <t>8a398869-f15c-4b05-8579-2d5a177b1b50</t>
        </is>
      </c>
      <c r="CH121" s="1" t="n">
        <v>45965.03979166667</v>
      </c>
      <c r="CK121" t="inlineStr">
        <is>
          <t>submitted_via_web</t>
        </is>
      </c>
      <c r="CM121" t="inlineStr">
        <is>
          <t>vteYUDpqfKnk39PHFZkvPS</t>
        </is>
      </c>
      <c r="CO121" t="inlineStr">
        <is>
          <t>uuid:8a398869-f15c-4b05-8579-2d5a177b1b50</t>
        </is>
      </c>
      <c r="CP121" t="n">
        <v>120</v>
      </c>
      <c r="CQ121" t="n">
        <v>11</v>
      </c>
      <c r="CR121" t="n">
        <v>2.805981931389258</v>
      </c>
    </row>
    <row r="122">
      <c r="A122" s="1" t="n">
        <v>45965.32797501158</v>
      </c>
      <c r="B122" s="1" t="n">
        <v>45965.34252355324</v>
      </c>
      <c r="D122" t="inlineStr">
        <is>
          <t>38</t>
        </is>
      </c>
      <c r="E122" t="inlineStr">
        <is>
          <t xml:space="preserve">Male </t>
        </is>
      </c>
      <c r="F122" t="inlineStr">
        <is>
          <t>Sinhalese</t>
        </is>
      </c>
      <c r="H122" t="inlineStr">
        <is>
          <t>Buddhist</t>
        </is>
      </c>
      <c r="J122" t="inlineStr">
        <is>
          <t>Government sector</t>
        </is>
      </c>
      <c r="K122" t="inlineStr">
        <is>
          <t>51,000 – 100,000</t>
        </is>
      </c>
      <c r="L122" t="inlineStr">
        <is>
          <t xml:space="preserve">Up to A/L </t>
        </is>
      </c>
      <c r="M122" t="inlineStr">
        <is>
          <t xml:space="preserve">North Western </t>
        </is>
      </c>
      <c r="N122" t="inlineStr">
        <is>
          <t xml:space="preserve">Married </t>
        </is>
      </c>
      <c r="O122" t="inlineStr">
        <is>
          <t xml:space="preserve">Yes, more than one child </t>
        </is>
      </c>
      <c r="P122" t="inlineStr">
        <is>
          <t xml:space="preserve"> I don’t know</t>
        </is>
      </c>
      <c r="R122" s="1" t="n">
        <v>43435</v>
      </c>
      <c r="S122" t="inlineStr">
        <is>
          <t xml:space="preserve">During school/university  </t>
        </is>
      </c>
      <c r="U122" t="inlineStr">
        <is>
          <t>Yes</t>
        </is>
      </c>
      <c r="V122" t="inlineStr">
        <is>
          <t>I don’t know</t>
        </is>
      </c>
      <c r="W122" t="n">
        <v>0</v>
      </c>
      <c r="X122" t="n">
        <v>0</v>
      </c>
      <c r="Y122" t="n">
        <v>0</v>
      </c>
      <c r="Z122" t="n">
        <v>1</v>
      </c>
      <c r="AA122" t="inlineStr">
        <is>
          <t xml:space="preserve">Thalassemia major (severe form)  </t>
        </is>
      </c>
      <c r="AB122" t="n">
        <v>1</v>
      </c>
      <c r="AC122" t="n">
        <v>0</v>
      </c>
      <c r="AD122" t="n">
        <v>0</v>
      </c>
      <c r="AE122" t="n">
        <v>0</v>
      </c>
      <c r="AF122" t="inlineStr">
        <is>
          <t>Thalassemia minor or trait (carrier form)</t>
        </is>
      </c>
      <c r="AG122" t="n">
        <v>0</v>
      </c>
      <c r="AH122" t="n">
        <v>1</v>
      </c>
      <c r="AI122" t="n">
        <v>0</v>
      </c>
      <c r="AJ122" t="n">
        <v>0</v>
      </c>
      <c r="AK122" t="inlineStr">
        <is>
          <t>Yes</t>
        </is>
      </c>
      <c r="AL122" t="inlineStr">
        <is>
          <t>Very difficult (e.g., bone marrow transplant)</t>
        </is>
      </c>
      <c r="AM122" t="inlineStr">
        <is>
          <t xml:space="preserve">Can be prevented </t>
        </is>
      </c>
      <c r="AN122" t="inlineStr">
        <is>
          <t xml:space="preserve">From generation to generation (hereditary)  </t>
        </is>
      </c>
      <c r="AO122" t="inlineStr">
        <is>
          <t>Healthy</t>
        </is>
      </c>
      <c r="AP122" t="inlineStr">
        <is>
          <t>Always affected by thalassemia</t>
        </is>
      </c>
      <c r="AQ122" t="inlineStr">
        <is>
          <t>No</t>
        </is>
      </c>
      <c r="AR122" t="inlineStr">
        <is>
          <t>Don’t know</t>
        </is>
      </c>
      <c r="AS122" t="inlineStr">
        <is>
          <t>Regular blood transfusions for life  Iron overload affecting heart and liver  Risk of infections from transfusions</t>
        </is>
      </c>
      <c r="AT122" t="n">
        <v>1</v>
      </c>
      <c r="AU122" t="n">
        <v>1</v>
      </c>
      <c r="AV122" t="n">
        <v>0</v>
      </c>
      <c r="AW122" t="n">
        <v>0</v>
      </c>
      <c r="AX122" t="n">
        <v>1</v>
      </c>
      <c r="AY122" t="n">
        <v>0</v>
      </c>
      <c r="AZ122" t="n">
        <v>0</v>
      </c>
      <c r="BA122" t="n">
        <v>0</v>
      </c>
      <c r="BB122" t="inlineStr">
        <is>
          <t xml:space="preserve"> Get the partner tested before marriage  </t>
        </is>
      </c>
      <c r="BC122" t="n">
        <v>1</v>
      </c>
      <c r="BD122" t="n">
        <v>0</v>
      </c>
      <c r="BE122" t="n">
        <v>0</v>
      </c>
      <c r="BF122" t="n">
        <v>0</v>
      </c>
      <c r="BG122" t="inlineStr">
        <is>
          <t xml:space="preserve">Healthcare staff (doctors and nurses) </t>
        </is>
      </c>
      <c r="BH122" t="inlineStr">
        <is>
          <t xml:space="preserve">Not sure </t>
        </is>
      </c>
      <c r="BI122" t="inlineStr">
        <is>
          <t xml:space="preserve">No </t>
        </is>
      </c>
      <c r="BJ122" t="inlineStr">
        <is>
          <t xml:space="preserve">Very important </t>
        </is>
      </c>
      <c r="BK122" t="inlineStr">
        <is>
          <t xml:space="preserve">Did not screen partner </t>
        </is>
      </c>
      <c r="BM122" t="inlineStr">
        <is>
          <t>Other</t>
        </is>
      </c>
      <c r="BN122" t="inlineStr">
        <is>
          <t>I don't know about i'm a carrier before marriage and</t>
        </is>
      </c>
      <c r="BP122" t="inlineStr">
        <is>
          <t xml:space="preserve">Agree </t>
        </is>
      </c>
      <c r="BQ122" t="inlineStr">
        <is>
          <t xml:space="preserve">Yes </t>
        </is>
      </c>
      <c r="BS122" t="inlineStr">
        <is>
          <t>None</t>
        </is>
      </c>
      <c r="BT122" t="inlineStr">
        <is>
          <t>None</t>
        </is>
      </c>
      <c r="BU122" t="inlineStr">
        <is>
          <t>None</t>
        </is>
      </c>
      <c r="BV122" t="inlineStr">
        <is>
          <t xml:space="preserve">Lack of knowledge </t>
        </is>
      </c>
      <c r="BW122" t="n">
        <v>1</v>
      </c>
      <c r="BX122" t="n">
        <v>0</v>
      </c>
      <c r="BY122" t="n">
        <v>0</v>
      </c>
      <c r="BZ122" t="n">
        <v>0</v>
      </c>
      <c r="CA122" t="n">
        <v>0</v>
      </c>
      <c r="CB122" t="n">
        <v>0</v>
      </c>
      <c r="CD122" t="inlineStr">
        <is>
          <t xml:space="preserve">Difficult </t>
        </is>
      </c>
      <c r="CE122" t="inlineStr">
        <is>
          <t xml:space="preserve"> Very important</t>
        </is>
      </c>
      <c r="CF122" t="n">
        <v>597560091</v>
      </c>
      <c r="CG122" t="inlineStr">
        <is>
          <t>1dc90264-df04-4ee8-88c3-453ddadb29c2</t>
        </is>
      </c>
      <c r="CH122" s="1" t="n">
        <v>45965.11346064815</v>
      </c>
      <c r="CK122" t="inlineStr">
        <is>
          <t>submitted_via_web</t>
        </is>
      </c>
      <c r="CM122" t="inlineStr">
        <is>
          <t>vteYUDpqfKnk39PHFZkvPS</t>
        </is>
      </c>
      <c r="CO122" t="inlineStr">
        <is>
          <t>uuid:1dc90264-df04-4ee8-88c3-453ddadb29c2</t>
        </is>
      </c>
      <c r="CP122" t="n">
        <v>121</v>
      </c>
      <c r="CQ122" t="n">
        <v>3</v>
      </c>
      <c r="CR122" t="n">
        <v>-0.3165225292847399</v>
      </c>
    </row>
    <row r="123">
      <c r="A123" s="1" t="n">
        <v>45963.7279884375</v>
      </c>
      <c r="B123" s="1" t="n">
        <v>45965.52444569444</v>
      </c>
      <c r="D123" t="inlineStr">
        <is>
          <t>29</t>
        </is>
      </c>
      <c r="E123" t="inlineStr">
        <is>
          <t>Female</t>
        </is>
      </c>
      <c r="F123" t="inlineStr">
        <is>
          <t>Sinhalese</t>
        </is>
      </c>
      <c r="H123" t="inlineStr">
        <is>
          <t>Buddhist</t>
        </is>
      </c>
      <c r="J123" t="inlineStr">
        <is>
          <t>Private sector</t>
        </is>
      </c>
      <c r="K123" t="inlineStr">
        <is>
          <t>51,000 – 100,000</t>
        </is>
      </c>
      <c r="L123" t="inlineStr">
        <is>
          <t xml:space="preserve">Graduate </t>
        </is>
      </c>
      <c r="M123" t="inlineStr">
        <is>
          <t xml:space="preserve">Southern </t>
        </is>
      </c>
      <c r="N123" t="inlineStr">
        <is>
          <t xml:space="preserve">Married </t>
        </is>
      </c>
      <c r="O123" t="inlineStr">
        <is>
          <t>No children</t>
        </is>
      </c>
      <c r="P123" t="inlineStr">
        <is>
          <t>No</t>
        </is>
      </c>
      <c r="R123" s="1" t="n">
        <v>43527</v>
      </c>
      <c r="S123" t="inlineStr">
        <is>
          <t>Individual or family screening after a relative was diagnosed</t>
        </is>
      </c>
      <c r="U123" t="inlineStr">
        <is>
          <t>Yes</t>
        </is>
      </c>
      <c r="V123" t="inlineStr">
        <is>
          <t>Thalassemia major (severe form)   Thalassemia minor or trait (carrier form)</t>
        </is>
      </c>
      <c r="W123" t="n">
        <v>1</v>
      </c>
      <c r="X123" t="n">
        <v>1</v>
      </c>
      <c r="Y123" t="n">
        <v>0</v>
      </c>
      <c r="Z123" t="n">
        <v>0</v>
      </c>
      <c r="AA123" t="inlineStr">
        <is>
          <t xml:space="preserve">Thalassemia major (severe form)  </t>
        </is>
      </c>
      <c r="AB123" t="n">
        <v>1</v>
      </c>
      <c r="AC123" t="n">
        <v>0</v>
      </c>
      <c r="AD123" t="n">
        <v>0</v>
      </c>
      <c r="AE123" t="n">
        <v>0</v>
      </c>
      <c r="AF123" t="inlineStr">
        <is>
          <t>Thalassemia minor or trait (carrier form)</t>
        </is>
      </c>
      <c r="AG123" t="n">
        <v>0</v>
      </c>
      <c r="AH123" t="n">
        <v>1</v>
      </c>
      <c r="AI123" t="n">
        <v>0</v>
      </c>
      <c r="AJ123" t="n">
        <v>0</v>
      </c>
      <c r="AK123" t="inlineStr">
        <is>
          <t>Yes</t>
        </is>
      </c>
      <c r="AL123" t="inlineStr">
        <is>
          <t xml:space="preserve">Cannot be cured   </t>
        </is>
      </c>
      <c r="AM123" t="inlineStr">
        <is>
          <t xml:space="preserve">Can be prevented </t>
        </is>
      </c>
      <c r="AN123" t="inlineStr">
        <is>
          <t xml:space="preserve">From generation to generation (hereditary)  </t>
        </is>
      </c>
      <c r="AO123" t="inlineStr">
        <is>
          <t>Healthy</t>
        </is>
      </c>
      <c r="AP123" t="inlineStr">
        <is>
          <t>Always affected by thalassemia</t>
        </is>
      </c>
      <c r="AQ123" t="inlineStr">
        <is>
          <t>No</t>
        </is>
      </c>
      <c r="AR123" t="inlineStr">
        <is>
          <t>Don’t know</t>
        </is>
      </c>
      <c r="AS123" t="inlineStr">
        <is>
          <t>Regular blood transfusions for life  Iron overload affecting heart and liver  Delayed growth and puberty</t>
        </is>
      </c>
      <c r="AT123" t="n">
        <v>1</v>
      </c>
      <c r="AU123" t="n">
        <v>1</v>
      </c>
      <c r="AV123" t="n">
        <v>1</v>
      </c>
      <c r="AW123" t="n">
        <v>0</v>
      </c>
      <c r="AX123" t="n">
        <v>0</v>
      </c>
      <c r="AY123" t="n">
        <v>0</v>
      </c>
      <c r="AZ123" t="n">
        <v>0</v>
      </c>
      <c r="BA123" t="n">
        <v>0</v>
      </c>
      <c r="BB123" t="inlineStr">
        <is>
          <t xml:space="preserve"> Get the partner tested before marriage   Get family members tested </t>
        </is>
      </c>
      <c r="BC123" t="n">
        <v>1</v>
      </c>
      <c r="BD123" t="n">
        <v>1</v>
      </c>
      <c r="BE123" t="n">
        <v>0</v>
      </c>
      <c r="BF123" t="n">
        <v>0</v>
      </c>
      <c r="BG123" t="inlineStr">
        <is>
          <t xml:space="preserve">Family </t>
        </is>
      </c>
      <c r="BH123" t="inlineStr">
        <is>
          <t>Definitely not</t>
        </is>
      </c>
      <c r="BI123" t="inlineStr">
        <is>
          <t xml:space="preserve">No </t>
        </is>
      </c>
      <c r="BJ123" t="inlineStr">
        <is>
          <t xml:space="preserve">Very important </t>
        </is>
      </c>
      <c r="BK123" t="inlineStr">
        <is>
          <t>Partner was screened before marriage</t>
        </is>
      </c>
      <c r="BP123" t="inlineStr">
        <is>
          <t xml:space="preserve">Agree </t>
        </is>
      </c>
      <c r="BQ123" t="inlineStr">
        <is>
          <t xml:space="preserve">Yes </t>
        </is>
      </c>
      <c r="BS123" t="inlineStr">
        <is>
          <t>Some</t>
        </is>
      </c>
      <c r="BT123" t="inlineStr">
        <is>
          <t>None</t>
        </is>
      </c>
      <c r="BU123" t="inlineStr">
        <is>
          <t>Don't know</t>
        </is>
      </c>
      <c r="CD123" t="inlineStr">
        <is>
          <t xml:space="preserve">Very easy </t>
        </is>
      </c>
      <c r="CE123" t="inlineStr">
        <is>
          <t xml:space="preserve"> Very important</t>
        </is>
      </c>
      <c r="CF123" t="n">
        <v>597668153</v>
      </c>
      <c r="CG123" t="inlineStr">
        <is>
          <t>c03e68df-0e48-40f9-9fa0-73622b695ecc</t>
        </is>
      </c>
      <c r="CH123" s="1" t="n">
        <v>45965.29527777778</v>
      </c>
      <c r="CK123" t="inlineStr">
        <is>
          <t>submitted_via_web</t>
        </is>
      </c>
      <c r="CM123" t="inlineStr">
        <is>
          <t>vteYUDpqfKnk39PHFZkvPS</t>
        </is>
      </c>
      <c r="CO123" t="inlineStr">
        <is>
          <t>uuid:c03e68df-0e48-40f9-9fa0-73622b695ecc</t>
        </is>
      </c>
      <c r="CP123" t="n">
        <v>122</v>
      </c>
      <c r="CQ123" t="n">
        <v>5</v>
      </c>
      <c r="CR123" t="n">
        <v>0.4641035858837596</v>
      </c>
    </row>
    <row r="124">
      <c r="A124" s="1" t="n">
        <v>45965.52444594907</v>
      </c>
      <c r="B124" s="1" t="n">
        <v>45965.5441846875</v>
      </c>
      <c r="D124" t="inlineStr">
        <is>
          <t>49</t>
        </is>
      </c>
      <c r="E124" t="inlineStr">
        <is>
          <t>Female</t>
        </is>
      </c>
      <c r="F124" t="inlineStr">
        <is>
          <t>Sinhalese</t>
        </is>
      </c>
      <c r="H124" t="inlineStr">
        <is>
          <t>Buddhist</t>
        </is>
      </c>
      <c r="J124" t="inlineStr">
        <is>
          <t>Self-employed</t>
        </is>
      </c>
      <c r="K124" t="inlineStr">
        <is>
          <t>51,000 – 100,000</t>
        </is>
      </c>
      <c r="L124" t="inlineStr">
        <is>
          <t xml:space="preserve">Up to A/L </t>
        </is>
      </c>
      <c r="M124" t="inlineStr">
        <is>
          <t>Western</t>
        </is>
      </c>
      <c r="N124" t="inlineStr">
        <is>
          <t xml:space="preserve">Married </t>
        </is>
      </c>
      <c r="O124" t="inlineStr">
        <is>
          <t xml:space="preserve">Yes, more than one child </t>
        </is>
      </c>
      <c r="P124" t="inlineStr">
        <is>
          <t>No</t>
        </is>
      </c>
      <c r="R124" s="1" t="n">
        <v>43527</v>
      </c>
      <c r="S124" t="inlineStr">
        <is>
          <t>During community screening</t>
        </is>
      </c>
      <c r="U124" t="inlineStr">
        <is>
          <t>Yes</t>
        </is>
      </c>
      <c r="V124" t="inlineStr">
        <is>
          <t>Thalassemia major (severe form)   Thalassemia minor or trait (carrier form)</t>
        </is>
      </c>
      <c r="W124" t="n">
        <v>1</v>
      </c>
      <c r="X124" t="n">
        <v>1</v>
      </c>
      <c r="Y124" t="n">
        <v>0</v>
      </c>
      <c r="Z124" t="n">
        <v>0</v>
      </c>
      <c r="AA124" t="inlineStr">
        <is>
          <t xml:space="preserve">Thalassemia major (severe form)  </t>
        </is>
      </c>
      <c r="AB124" t="n">
        <v>1</v>
      </c>
      <c r="AC124" t="n">
        <v>0</v>
      </c>
      <c r="AD124" t="n">
        <v>0</v>
      </c>
      <c r="AE124" t="n">
        <v>0</v>
      </c>
      <c r="AF124" t="inlineStr">
        <is>
          <t>Thalassemia minor or trait (carrier form)</t>
        </is>
      </c>
      <c r="AG124" t="n">
        <v>0</v>
      </c>
      <c r="AH124" t="n">
        <v>1</v>
      </c>
      <c r="AI124" t="n">
        <v>0</v>
      </c>
      <c r="AJ124" t="n">
        <v>0</v>
      </c>
      <c r="AK124" t="inlineStr">
        <is>
          <t>Yes</t>
        </is>
      </c>
      <c r="AL124" t="inlineStr">
        <is>
          <t xml:space="preserve">Cannot be cured   </t>
        </is>
      </c>
      <c r="AM124" t="inlineStr">
        <is>
          <t xml:space="preserve">Can be prevented </t>
        </is>
      </c>
      <c r="AN124" t="inlineStr">
        <is>
          <t xml:space="preserve">From generation to generation (hereditary)  </t>
        </is>
      </c>
      <c r="AO124" t="inlineStr">
        <is>
          <t>Healthy</t>
        </is>
      </c>
      <c r="AP124" t="inlineStr">
        <is>
          <t>Always affected by thalassemia</t>
        </is>
      </c>
      <c r="AQ124" t="inlineStr">
        <is>
          <t>No</t>
        </is>
      </c>
      <c r="AR124" t="inlineStr">
        <is>
          <t>Don’t know</t>
        </is>
      </c>
      <c r="AS124" t="inlineStr">
        <is>
          <t xml:space="preserve">Regular blood transfusions for life </t>
        </is>
      </c>
      <c r="AT124" t="n">
        <v>1</v>
      </c>
      <c r="AU124" t="n">
        <v>0</v>
      </c>
      <c r="AV124" t="n">
        <v>0</v>
      </c>
      <c r="AW124" t="n">
        <v>0</v>
      </c>
      <c r="AX124" t="n">
        <v>0</v>
      </c>
      <c r="AY124" t="n">
        <v>0</v>
      </c>
      <c r="AZ124" t="n">
        <v>0</v>
      </c>
      <c r="BA124" t="n">
        <v>0</v>
      </c>
      <c r="BB124" t="inlineStr">
        <is>
          <t xml:space="preserve"> Get the partner tested before marriage   Get family members tested </t>
        </is>
      </c>
      <c r="BC124" t="n">
        <v>1</v>
      </c>
      <c r="BD124" t="n">
        <v>1</v>
      </c>
      <c r="BE124" t="n">
        <v>0</v>
      </c>
      <c r="BF124" t="n">
        <v>0</v>
      </c>
      <c r="BG124" t="inlineStr">
        <is>
          <t xml:space="preserve">Family </t>
        </is>
      </c>
      <c r="BH124" t="inlineStr">
        <is>
          <t>Definitely not</t>
        </is>
      </c>
      <c r="BI124" t="inlineStr">
        <is>
          <t xml:space="preserve">No </t>
        </is>
      </c>
      <c r="BJ124" t="inlineStr">
        <is>
          <t xml:space="preserve">Very important </t>
        </is>
      </c>
      <c r="BK124" t="inlineStr">
        <is>
          <t xml:space="preserve">Did not screen partner </t>
        </is>
      </c>
      <c r="BM124" t="inlineStr">
        <is>
          <t xml:space="preserve"> Lack of understanding about its importance </t>
        </is>
      </c>
      <c r="BP124" t="inlineStr">
        <is>
          <t xml:space="preserve">Agree </t>
        </is>
      </c>
      <c r="BQ124" t="inlineStr">
        <is>
          <t xml:space="preserve">Yes </t>
        </is>
      </c>
      <c r="BS124" t="inlineStr">
        <is>
          <t>Some</t>
        </is>
      </c>
      <c r="BT124" t="inlineStr">
        <is>
          <t>Some</t>
        </is>
      </c>
      <c r="BU124" t="inlineStr">
        <is>
          <t>Don't know</t>
        </is>
      </c>
      <c r="BV124" t="inlineStr">
        <is>
          <t xml:space="preserve">Lack of knowledge </t>
        </is>
      </c>
      <c r="BW124" t="n">
        <v>1</v>
      </c>
      <c r="BX124" t="n">
        <v>0</v>
      </c>
      <c r="BY124" t="n">
        <v>0</v>
      </c>
      <c r="BZ124" t="n">
        <v>0</v>
      </c>
      <c r="CA124" t="n">
        <v>0</v>
      </c>
      <c r="CB124" t="n">
        <v>0</v>
      </c>
      <c r="CD124" t="inlineStr">
        <is>
          <t xml:space="preserve">Somewhat easy </t>
        </is>
      </c>
      <c r="CE124" t="inlineStr">
        <is>
          <t xml:space="preserve">Important </t>
        </is>
      </c>
      <c r="CF124" t="n">
        <v>597691805</v>
      </c>
      <c r="CG124" t="inlineStr">
        <is>
          <t>5690cc04-477c-44c4-a8f9-04e4e2429bae</t>
        </is>
      </c>
      <c r="CH124" s="1" t="n">
        <v>45965.31502314815</v>
      </c>
      <c r="CK124" t="inlineStr">
        <is>
          <t>submitted_via_web</t>
        </is>
      </c>
      <c r="CM124" t="inlineStr">
        <is>
          <t>vteYUDpqfKnk39PHFZkvPS</t>
        </is>
      </c>
      <c r="CO124" t="inlineStr">
        <is>
          <t>uuid:5690cc04-477c-44c4-a8f9-04e4e2429bae</t>
        </is>
      </c>
      <c r="CP124" t="n">
        <v>123</v>
      </c>
      <c r="CQ124" t="n">
        <v>3</v>
      </c>
      <c r="CR124" t="n">
        <v>-0.3165225292847399</v>
      </c>
    </row>
    <row r="125">
      <c r="A125" s="1" t="n">
        <v>45965.57032899305</v>
      </c>
      <c r="B125" s="1" t="n">
        <v>45965.5775677662</v>
      </c>
      <c r="D125" t="inlineStr">
        <is>
          <t>24 years</t>
        </is>
      </c>
      <c r="E125" t="inlineStr">
        <is>
          <t>Female</t>
        </is>
      </c>
      <c r="F125" t="inlineStr">
        <is>
          <t>Sinhalese</t>
        </is>
      </c>
      <c r="H125" t="inlineStr">
        <is>
          <t>Buddhist</t>
        </is>
      </c>
      <c r="J125" t="inlineStr">
        <is>
          <t>Not employed</t>
        </is>
      </c>
      <c r="K125" t="inlineStr">
        <is>
          <t>25,000 – 50,000</t>
        </is>
      </c>
      <c r="L125" t="inlineStr">
        <is>
          <t xml:space="preserve">Undergraduate </t>
        </is>
      </c>
      <c r="M125" t="inlineStr">
        <is>
          <t>Western</t>
        </is>
      </c>
      <c r="N125" t="inlineStr">
        <is>
          <t>Single</t>
        </is>
      </c>
      <c r="P125" t="inlineStr">
        <is>
          <t>No</t>
        </is>
      </c>
      <c r="S125" t="inlineStr">
        <is>
          <t xml:space="preserve">During school/university  </t>
        </is>
      </c>
      <c r="U125" t="inlineStr">
        <is>
          <t>Yes</t>
        </is>
      </c>
      <c r="V125" t="inlineStr">
        <is>
          <t xml:space="preserve">Thalassemia major (severe form)   Thalassemia minor or trait (carrier form) Thalassemia intermedia (moderate form) </t>
        </is>
      </c>
      <c r="W125" t="n">
        <v>1</v>
      </c>
      <c r="X125" t="n">
        <v>1</v>
      </c>
      <c r="Y125" t="n">
        <v>1</v>
      </c>
      <c r="Z125" t="n">
        <v>0</v>
      </c>
      <c r="AA125" t="inlineStr">
        <is>
          <t xml:space="preserve">Thalassemia major (severe form)  </t>
        </is>
      </c>
      <c r="AB125" t="n">
        <v>1</v>
      </c>
      <c r="AC125" t="n">
        <v>0</v>
      </c>
      <c r="AD125" t="n">
        <v>0</v>
      </c>
      <c r="AE125" t="n">
        <v>0</v>
      </c>
      <c r="AF125" t="inlineStr">
        <is>
          <t>Thalassemia minor or trait (carrier form)</t>
        </is>
      </c>
      <c r="AG125" t="n">
        <v>0</v>
      </c>
      <c r="AH125" t="n">
        <v>1</v>
      </c>
      <c r="AI125" t="n">
        <v>0</v>
      </c>
      <c r="AJ125" t="n">
        <v>0</v>
      </c>
      <c r="AK125" t="inlineStr">
        <is>
          <t>Yes</t>
        </is>
      </c>
      <c r="AL125" t="inlineStr">
        <is>
          <t>Very difficult (e.g., bone marrow transplant)</t>
        </is>
      </c>
      <c r="AM125" t="inlineStr">
        <is>
          <t xml:space="preserve">Can be prevented </t>
        </is>
      </c>
      <c r="AN125" t="inlineStr">
        <is>
          <t xml:space="preserve">From generation to generation (hereditary)  </t>
        </is>
      </c>
      <c r="AO125" t="inlineStr">
        <is>
          <t>Healthy</t>
        </is>
      </c>
      <c r="AP125" t="inlineStr">
        <is>
          <t xml:space="preserve">Has a chance to be affected (e.g., 25%) </t>
        </is>
      </c>
      <c r="AQ125" t="inlineStr">
        <is>
          <t xml:space="preserve">Yes </t>
        </is>
      </c>
      <c r="AR125" t="inlineStr">
        <is>
          <t xml:space="preserve">40–100  </t>
        </is>
      </c>
      <c r="AS125" t="inlineStr">
        <is>
          <t>Regular blood transfusions for life  Iron overload affecting heart and liver  Delayed growth and puberty Risk of diabetes, infertility, and hormonal issues  Risk of infections from transfusions Frequent nosebleeds Fatigue Bone deformities</t>
        </is>
      </c>
      <c r="AT125" t="n">
        <v>1</v>
      </c>
      <c r="AU125" t="n">
        <v>1</v>
      </c>
      <c r="AV125" t="n">
        <v>1</v>
      </c>
      <c r="AW125" t="n">
        <v>1</v>
      </c>
      <c r="AX125" t="n">
        <v>1</v>
      </c>
      <c r="AY125" t="n">
        <v>1</v>
      </c>
      <c r="AZ125" t="n">
        <v>1</v>
      </c>
      <c r="BA125" t="n">
        <v>1</v>
      </c>
      <c r="BB125" t="inlineStr">
        <is>
          <t xml:space="preserve"> Get the partner tested before marriage   Get family members tested </t>
        </is>
      </c>
      <c r="BC125" t="n">
        <v>1</v>
      </c>
      <c r="BD125" t="n">
        <v>1</v>
      </c>
      <c r="BE125" t="n">
        <v>0</v>
      </c>
      <c r="BF125" t="n">
        <v>0</v>
      </c>
      <c r="BG125" t="inlineStr">
        <is>
          <t xml:space="preserve">School  </t>
        </is>
      </c>
      <c r="BH125" t="inlineStr">
        <is>
          <t>Definitely not</t>
        </is>
      </c>
      <c r="BI125" t="inlineStr">
        <is>
          <t xml:space="preserve">No </t>
        </is>
      </c>
      <c r="BJ125" t="inlineStr">
        <is>
          <t xml:space="preserve">Very important </t>
        </is>
      </c>
      <c r="BK125" t="inlineStr">
        <is>
          <t>Other</t>
        </is>
      </c>
      <c r="BL125" t="inlineStr">
        <is>
          <t>I'm not married</t>
        </is>
      </c>
      <c r="BM125" t="inlineStr">
        <is>
          <t>Other</t>
        </is>
      </c>
      <c r="BP125" t="inlineStr">
        <is>
          <t xml:space="preserve">Agree </t>
        </is>
      </c>
      <c r="BQ125" t="inlineStr">
        <is>
          <t xml:space="preserve">Yes </t>
        </is>
      </c>
      <c r="BS125" t="inlineStr">
        <is>
          <t>All</t>
        </is>
      </c>
      <c r="BT125" t="inlineStr">
        <is>
          <t>Don't know</t>
        </is>
      </c>
      <c r="BU125" t="inlineStr">
        <is>
          <t>Don't know</t>
        </is>
      </c>
      <c r="BV125" t="inlineStr">
        <is>
          <t xml:space="preserve">Lack of knowledge </t>
        </is>
      </c>
      <c r="BW125" t="n">
        <v>1</v>
      </c>
      <c r="BX125" t="n">
        <v>0</v>
      </c>
      <c r="BY125" t="n">
        <v>0</v>
      </c>
      <c r="BZ125" t="n">
        <v>0</v>
      </c>
      <c r="CA125" t="n">
        <v>0</v>
      </c>
      <c r="CB125" t="n">
        <v>0</v>
      </c>
      <c r="CD125" t="inlineStr">
        <is>
          <t xml:space="preserve">Difficult </t>
        </is>
      </c>
      <c r="CE125" t="inlineStr">
        <is>
          <t xml:space="preserve"> Very important</t>
        </is>
      </c>
      <c r="CF125" t="n">
        <v>597730723</v>
      </c>
      <c r="CG125" t="inlineStr">
        <is>
          <t>0f301886-ec0c-4f1a-bcec-17049155ef66</t>
        </is>
      </c>
      <c r="CH125" s="1" t="n">
        <v>45965.34842592593</v>
      </c>
      <c r="CK125" t="inlineStr">
        <is>
          <t>submitted_via_web</t>
        </is>
      </c>
      <c r="CM125" t="inlineStr">
        <is>
          <t>vteYUDpqfKnk39PHFZkvPS</t>
        </is>
      </c>
      <c r="CO125" t="inlineStr">
        <is>
          <t>uuid:0f301886-ec0c-4f1a-bcec-17049155ef66</t>
        </is>
      </c>
      <c r="CP125" t="n">
        <v>124</v>
      </c>
      <c r="CQ125" t="n">
        <v>11</v>
      </c>
      <c r="CR125" t="n">
        <v>2.805981931389258</v>
      </c>
    </row>
    <row r="126">
      <c r="A126" s="1" t="n">
        <v>45965.82069539352</v>
      </c>
      <c r="B126" s="1" t="n">
        <v>45965.85003915509</v>
      </c>
      <c r="D126" t="inlineStr">
        <is>
          <t>23</t>
        </is>
      </c>
      <c r="J126" t="inlineStr">
        <is>
          <t>Private sector</t>
        </is>
      </c>
      <c r="K126" t="inlineStr">
        <is>
          <t>25,000 – 50,000</t>
        </is>
      </c>
      <c r="L126" t="inlineStr">
        <is>
          <t xml:space="preserve">Up to A/L </t>
        </is>
      </c>
      <c r="M126" t="inlineStr">
        <is>
          <t>Western</t>
        </is>
      </c>
      <c r="N126" t="inlineStr">
        <is>
          <t>Single</t>
        </is>
      </c>
      <c r="P126" t="inlineStr">
        <is>
          <t>No</t>
        </is>
      </c>
      <c r="S126" t="inlineStr">
        <is>
          <t xml:space="preserve">During school/university  </t>
        </is>
      </c>
      <c r="U126" t="inlineStr">
        <is>
          <t>Yes</t>
        </is>
      </c>
      <c r="V126" t="inlineStr">
        <is>
          <t>Thalassemia major (severe form)   Thalassemia minor or trait (carrier form)</t>
        </is>
      </c>
      <c r="W126" t="n">
        <v>1</v>
      </c>
      <c r="X126" t="n">
        <v>1</v>
      </c>
      <c r="Y126" t="n">
        <v>0</v>
      </c>
      <c r="Z126" t="n">
        <v>0</v>
      </c>
      <c r="AA126" t="inlineStr">
        <is>
          <t xml:space="preserve">Thalassemia major (severe form)  </t>
        </is>
      </c>
      <c r="AB126" t="n">
        <v>1</v>
      </c>
      <c r="AC126" t="n">
        <v>0</v>
      </c>
      <c r="AD126" t="n">
        <v>0</v>
      </c>
      <c r="AE126" t="n">
        <v>0</v>
      </c>
      <c r="AF126" t="inlineStr">
        <is>
          <t>Thalassemia minor or trait (carrier form)</t>
        </is>
      </c>
      <c r="AG126" t="n">
        <v>0</v>
      </c>
      <c r="AH126" t="n">
        <v>1</v>
      </c>
      <c r="AI126" t="n">
        <v>0</v>
      </c>
      <c r="AJ126" t="n">
        <v>0</v>
      </c>
      <c r="AK126" t="inlineStr">
        <is>
          <t>Don’t know</t>
        </is>
      </c>
      <c r="AL126" t="inlineStr">
        <is>
          <t>Don’t know</t>
        </is>
      </c>
      <c r="AM126" t="inlineStr">
        <is>
          <t xml:space="preserve">Can be prevented </t>
        </is>
      </c>
      <c r="AO126" t="inlineStr">
        <is>
          <t>Healthy</t>
        </is>
      </c>
      <c r="AP126" t="inlineStr">
        <is>
          <t xml:space="preserve">Has a chance to be affected (e.g., 25%) </t>
        </is>
      </c>
      <c r="AQ126" t="inlineStr">
        <is>
          <t xml:space="preserve">Yes </t>
        </is>
      </c>
      <c r="AR126" t="inlineStr">
        <is>
          <t>Don’t know</t>
        </is>
      </c>
      <c r="AS126" t="inlineStr">
        <is>
          <t>Regular blood transfusions for life  Bone deformities</t>
        </is>
      </c>
      <c r="AT126" t="n">
        <v>1</v>
      </c>
      <c r="AU126" t="n">
        <v>0</v>
      </c>
      <c r="AV126" t="n">
        <v>0</v>
      </c>
      <c r="AW126" t="n">
        <v>0</v>
      </c>
      <c r="AX126" t="n">
        <v>0</v>
      </c>
      <c r="AY126" t="n">
        <v>0</v>
      </c>
      <c r="AZ126" t="n">
        <v>0</v>
      </c>
      <c r="BA126" t="n">
        <v>1</v>
      </c>
      <c r="BB126" t="inlineStr">
        <is>
          <t xml:space="preserve"> Get the partner tested before marriage   Get family members tested </t>
        </is>
      </c>
      <c r="BC126" t="n">
        <v>1</v>
      </c>
      <c r="BD126" t="n">
        <v>1</v>
      </c>
      <c r="BE126" t="n">
        <v>0</v>
      </c>
      <c r="BF126" t="n">
        <v>0</v>
      </c>
      <c r="BG126" t="inlineStr">
        <is>
          <t xml:space="preserve">School  </t>
        </is>
      </c>
      <c r="BH126" t="inlineStr">
        <is>
          <t>Definitely not</t>
        </is>
      </c>
      <c r="BI126" t="inlineStr">
        <is>
          <t xml:space="preserve">No </t>
        </is>
      </c>
      <c r="BJ126" t="inlineStr">
        <is>
          <t xml:space="preserve">Very important </t>
        </is>
      </c>
      <c r="BK126" t="inlineStr">
        <is>
          <t>Other</t>
        </is>
      </c>
      <c r="BL126" t="inlineStr">
        <is>
          <t>Still not married. Will be screen before marriage</t>
        </is>
      </c>
      <c r="BM126" t="inlineStr">
        <is>
          <t>Other</t>
        </is>
      </c>
      <c r="BN126" t="inlineStr">
        <is>
          <t>Still not married. Will be screen before marriage</t>
        </is>
      </c>
      <c r="BP126" t="inlineStr">
        <is>
          <t xml:space="preserve">Agree </t>
        </is>
      </c>
      <c r="BQ126" t="inlineStr">
        <is>
          <t xml:space="preserve">Yes </t>
        </is>
      </c>
      <c r="BS126" t="inlineStr">
        <is>
          <t>All</t>
        </is>
      </c>
      <c r="BT126" t="inlineStr">
        <is>
          <t>None</t>
        </is>
      </c>
      <c r="BU126" t="inlineStr">
        <is>
          <t>None</t>
        </is>
      </c>
      <c r="BV126" t="inlineStr">
        <is>
          <t>Lack of knowledge  Concern about stigma or discrimination Fear of result Perception that screening was unnecessary</t>
        </is>
      </c>
      <c r="BW126" t="n">
        <v>1</v>
      </c>
      <c r="BX126" t="n">
        <v>1</v>
      </c>
      <c r="BY126" t="n">
        <v>1</v>
      </c>
      <c r="BZ126" t="n">
        <v>1</v>
      </c>
      <c r="CA126" t="n">
        <v>0</v>
      </c>
      <c r="CB126" t="n">
        <v>0</v>
      </c>
      <c r="CD126" t="inlineStr">
        <is>
          <t xml:space="preserve">Difficult </t>
        </is>
      </c>
      <c r="CE126" t="inlineStr">
        <is>
          <t xml:space="preserve"> Very important</t>
        </is>
      </c>
      <c r="CF126" t="n">
        <v>598113182</v>
      </c>
      <c r="CG126" t="inlineStr">
        <is>
          <t>ef793b44-6551-448d-93a0-e6a0030cd5e7</t>
        </is>
      </c>
      <c r="CH126" s="1" t="n">
        <v>45965.6208912037</v>
      </c>
      <c r="CK126" t="inlineStr">
        <is>
          <t>submitted_via_web</t>
        </is>
      </c>
      <c r="CM126" t="inlineStr">
        <is>
          <t>vteYUDpqfKnk39PHFZkvPS</t>
        </is>
      </c>
      <c r="CO126" t="inlineStr">
        <is>
          <t>uuid:ef793b44-6551-448d-93a0-e6a0030cd5e7</t>
        </is>
      </c>
      <c r="CP126" t="n">
        <v>125</v>
      </c>
      <c r="CQ126" t="n">
        <v>4</v>
      </c>
      <c r="CR126" t="n">
        <v>0.07379052829950983</v>
      </c>
    </row>
    <row r="127">
      <c r="A127" s="1" t="n">
        <v>45965.54418503472</v>
      </c>
      <c r="B127" s="1" t="n">
        <v>45966.40410039352</v>
      </c>
      <c r="D127" t="inlineStr">
        <is>
          <t>27</t>
        </is>
      </c>
      <c r="E127" t="inlineStr">
        <is>
          <t>Female</t>
        </is>
      </c>
      <c r="F127" t="inlineStr">
        <is>
          <t>Sinhalese</t>
        </is>
      </c>
      <c r="H127" t="inlineStr">
        <is>
          <t>Buddhist</t>
        </is>
      </c>
      <c r="J127" t="inlineStr">
        <is>
          <t>Not employed</t>
        </is>
      </c>
      <c r="L127" t="inlineStr">
        <is>
          <t xml:space="preserve">Undergraduate </t>
        </is>
      </c>
      <c r="M127" t="inlineStr">
        <is>
          <t xml:space="preserve">North Central </t>
        </is>
      </c>
      <c r="N127" t="inlineStr">
        <is>
          <t>Single</t>
        </is>
      </c>
      <c r="P127" t="inlineStr">
        <is>
          <t>No</t>
        </is>
      </c>
      <c r="R127" s="1" t="n">
        <v>44318</v>
      </c>
      <c r="S127" t="inlineStr">
        <is>
          <t xml:space="preserve">During school/university  </t>
        </is>
      </c>
      <c r="U127" t="inlineStr">
        <is>
          <t>Yes</t>
        </is>
      </c>
      <c r="V127" t="inlineStr">
        <is>
          <t xml:space="preserve">Thalassemia major (severe form)   Thalassemia minor or trait (carrier form) Thalassemia intermedia (moderate form) </t>
        </is>
      </c>
      <c r="W127" t="n">
        <v>1</v>
      </c>
      <c r="X127" t="n">
        <v>1</v>
      </c>
      <c r="Y127" t="n">
        <v>1</v>
      </c>
      <c r="Z127" t="n">
        <v>0</v>
      </c>
      <c r="AA127" t="inlineStr">
        <is>
          <t xml:space="preserve">Thalassemia major (severe form)  </t>
        </is>
      </c>
      <c r="AB127" t="n">
        <v>1</v>
      </c>
      <c r="AC127" t="n">
        <v>0</v>
      </c>
      <c r="AD127" t="n">
        <v>0</v>
      </c>
      <c r="AE127" t="n">
        <v>0</v>
      </c>
      <c r="AF127" t="inlineStr">
        <is>
          <t>Thalassemia minor or trait (carrier form)</t>
        </is>
      </c>
      <c r="AG127" t="n">
        <v>0</v>
      </c>
      <c r="AH127" t="n">
        <v>1</v>
      </c>
      <c r="AI127" t="n">
        <v>0</v>
      </c>
      <c r="AJ127" t="n">
        <v>0</v>
      </c>
      <c r="AK127" t="inlineStr">
        <is>
          <t>Yes</t>
        </is>
      </c>
      <c r="AL127" t="inlineStr">
        <is>
          <t>Very difficult (e.g., bone marrow transplant)</t>
        </is>
      </c>
      <c r="AM127" t="inlineStr">
        <is>
          <t xml:space="preserve">Can be prevented </t>
        </is>
      </c>
      <c r="AN127" t="inlineStr">
        <is>
          <t xml:space="preserve">From generation to generation (hereditary)  </t>
        </is>
      </c>
      <c r="AO127" t="inlineStr">
        <is>
          <t>Healthy</t>
        </is>
      </c>
      <c r="AP127" t="inlineStr">
        <is>
          <t xml:space="preserve">Has a chance to be affected (e.g., 25%) </t>
        </is>
      </c>
      <c r="AQ127" t="inlineStr">
        <is>
          <t xml:space="preserve">Yes </t>
        </is>
      </c>
      <c r="AR127" t="inlineStr">
        <is>
          <t>Don’t know</t>
        </is>
      </c>
      <c r="AS127" t="inlineStr">
        <is>
          <t>Regular blood transfusions for life  Iron overload affecting heart and liver  Delayed growth and puberty Risk of diabetes, infertility, and hormonal issues  Risk of infections from transfusions Frequent nosebleeds Fatigue Bone deformities</t>
        </is>
      </c>
      <c r="AT127" t="n">
        <v>1</v>
      </c>
      <c r="AU127" t="n">
        <v>1</v>
      </c>
      <c r="AV127" t="n">
        <v>1</v>
      </c>
      <c r="AW127" t="n">
        <v>1</v>
      </c>
      <c r="AX127" t="n">
        <v>1</v>
      </c>
      <c r="AY127" t="n">
        <v>1</v>
      </c>
      <c r="AZ127" t="n">
        <v>1</v>
      </c>
      <c r="BA127" t="n">
        <v>1</v>
      </c>
      <c r="BB127" t="inlineStr">
        <is>
          <t xml:space="preserve"> Get the partner tested before marriage   Get family members tested </t>
        </is>
      </c>
      <c r="BC127" t="n">
        <v>1</v>
      </c>
      <c r="BD127" t="n">
        <v>1</v>
      </c>
      <c r="BE127" t="n">
        <v>0</v>
      </c>
      <c r="BF127" t="n">
        <v>0</v>
      </c>
      <c r="BG127" t="inlineStr">
        <is>
          <t xml:space="preserve">Healthcare staff (doctors and nurses) </t>
        </is>
      </c>
      <c r="BH127" t="inlineStr">
        <is>
          <t>Definitely not</t>
        </is>
      </c>
      <c r="BI127" t="inlineStr">
        <is>
          <t xml:space="preserve">No </t>
        </is>
      </c>
      <c r="BJ127" t="inlineStr">
        <is>
          <t xml:space="preserve">Very important </t>
        </is>
      </c>
      <c r="BP127" t="inlineStr">
        <is>
          <t xml:space="preserve">Agree </t>
        </is>
      </c>
      <c r="BQ127" t="inlineStr">
        <is>
          <t xml:space="preserve">Yes </t>
        </is>
      </c>
      <c r="BS127" t="inlineStr">
        <is>
          <t>Some</t>
        </is>
      </c>
      <c r="BT127" t="inlineStr">
        <is>
          <t>Some</t>
        </is>
      </c>
      <c r="BU127" t="inlineStr">
        <is>
          <t>Don't know</t>
        </is>
      </c>
      <c r="CD127" t="inlineStr">
        <is>
          <t xml:space="preserve">Somewhat easy </t>
        </is>
      </c>
      <c r="CE127" t="inlineStr">
        <is>
          <t xml:space="preserve"> Very important</t>
        </is>
      </c>
      <c r="CF127" t="n">
        <v>598477445</v>
      </c>
      <c r="CG127" t="inlineStr">
        <is>
          <t>9d9a8094-7d05-4bae-99d6-49ffee10cde8</t>
        </is>
      </c>
      <c r="CH127" s="1" t="n">
        <v>45966.17497685185</v>
      </c>
      <c r="CK127" t="inlineStr">
        <is>
          <t>submitted_via_web</t>
        </is>
      </c>
      <c r="CM127" t="inlineStr">
        <is>
          <t>vteYUDpqfKnk39PHFZkvPS</t>
        </is>
      </c>
      <c r="CO127" t="inlineStr">
        <is>
          <t>uuid:9d9a8094-7d05-4bae-99d6-49ffee10cde8</t>
        </is>
      </c>
      <c r="CP127" t="n">
        <v>126</v>
      </c>
      <c r="CQ127" t="n">
        <v>11</v>
      </c>
      <c r="CR127" t="n">
        <v>2.805981931389258</v>
      </c>
    </row>
    <row r="128">
      <c r="A128" s="1" t="n">
        <v>45966.40410084491</v>
      </c>
      <c r="B128" s="1" t="n">
        <v>45966.42634337963</v>
      </c>
      <c r="D128" t="inlineStr">
        <is>
          <t>35</t>
        </is>
      </c>
      <c r="E128" t="inlineStr">
        <is>
          <t>Female</t>
        </is>
      </c>
      <c r="F128" t="inlineStr">
        <is>
          <t>Sinhalese</t>
        </is>
      </c>
      <c r="H128" t="inlineStr">
        <is>
          <t>Buddhist</t>
        </is>
      </c>
      <c r="J128" t="inlineStr">
        <is>
          <t>Private sector</t>
        </is>
      </c>
      <c r="K128" t="inlineStr">
        <is>
          <t>51,000 – 100,000</t>
        </is>
      </c>
      <c r="L128" t="inlineStr">
        <is>
          <t xml:space="preserve">Up to O/L </t>
        </is>
      </c>
      <c r="M128" t="inlineStr">
        <is>
          <t xml:space="preserve">Sabaragamuwa </t>
        </is>
      </c>
      <c r="N128" t="inlineStr">
        <is>
          <t xml:space="preserve">Married </t>
        </is>
      </c>
      <c r="O128" t="inlineStr">
        <is>
          <t>No children</t>
        </is>
      </c>
      <c r="P128" t="inlineStr">
        <is>
          <t>No</t>
        </is>
      </c>
      <c r="R128" s="1" t="n">
        <v>44615</v>
      </c>
      <c r="S128" t="inlineStr">
        <is>
          <t>During community screening</t>
        </is>
      </c>
      <c r="U128" t="inlineStr">
        <is>
          <t>Don’t know</t>
        </is>
      </c>
      <c r="V128" t="inlineStr">
        <is>
          <t>Thalassemia major (severe form)   Thalassemia minor or trait (carrier form)</t>
        </is>
      </c>
      <c r="W128" t="n">
        <v>1</v>
      </c>
      <c r="X128" t="n">
        <v>1</v>
      </c>
      <c r="Y128" t="n">
        <v>0</v>
      </c>
      <c r="Z128" t="n">
        <v>0</v>
      </c>
      <c r="AA128" t="inlineStr">
        <is>
          <t xml:space="preserve">Thalassemia major (severe form)  </t>
        </is>
      </c>
      <c r="AB128" t="n">
        <v>1</v>
      </c>
      <c r="AC128" t="n">
        <v>0</v>
      </c>
      <c r="AD128" t="n">
        <v>0</v>
      </c>
      <c r="AE128" t="n">
        <v>0</v>
      </c>
      <c r="AF128" t="inlineStr">
        <is>
          <t>Thalassemia minor or trait (carrier form)</t>
        </is>
      </c>
      <c r="AG128" t="n">
        <v>0</v>
      </c>
      <c r="AH128" t="n">
        <v>1</v>
      </c>
      <c r="AI128" t="n">
        <v>0</v>
      </c>
      <c r="AJ128" t="n">
        <v>0</v>
      </c>
      <c r="AK128" t="inlineStr">
        <is>
          <t>Don’t know</t>
        </is>
      </c>
      <c r="AL128" t="inlineStr">
        <is>
          <t>Don’t know</t>
        </is>
      </c>
      <c r="AM128" t="inlineStr">
        <is>
          <t>Not sure</t>
        </is>
      </c>
      <c r="AN128" t="inlineStr">
        <is>
          <t xml:space="preserve">From generation to generation (hereditary)  </t>
        </is>
      </c>
      <c r="AO128" t="inlineStr">
        <is>
          <t>Healthy</t>
        </is>
      </c>
      <c r="AP128" t="inlineStr">
        <is>
          <t>Always affected by thalassemia</t>
        </is>
      </c>
      <c r="AQ128" t="inlineStr">
        <is>
          <t>No</t>
        </is>
      </c>
      <c r="AR128" t="inlineStr">
        <is>
          <t>Don’t know</t>
        </is>
      </c>
      <c r="AS128" t="inlineStr">
        <is>
          <t>Regular blood transfusions for life  Delayed growth and puberty Frequent nosebleeds Fatigue</t>
        </is>
      </c>
      <c r="AT128" t="n">
        <v>1</v>
      </c>
      <c r="AU128" t="n">
        <v>0</v>
      </c>
      <c r="AV128" t="n">
        <v>1</v>
      </c>
      <c r="AW128" t="n">
        <v>0</v>
      </c>
      <c r="AX128" t="n">
        <v>0</v>
      </c>
      <c r="AY128" t="n">
        <v>1</v>
      </c>
      <c r="AZ128" t="n">
        <v>1</v>
      </c>
      <c r="BA128" t="n">
        <v>0</v>
      </c>
      <c r="BB128" t="inlineStr">
        <is>
          <t xml:space="preserve"> Get the partner tested before marriage   Get family members tested </t>
        </is>
      </c>
      <c r="BC128" t="n">
        <v>1</v>
      </c>
      <c r="BD128" t="n">
        <v>1</v>
      </c>
      <c r="BE128" t="n">
        <v>0</v>
      </c>
      <c r="BF128" t="n">
        <v>0</v>
      </c>
      <c r="BG128" t="inlineStr">
        <is>
          <t xml:space="preserve">Family </t>
        </is>
      </c>
      <c r="BH128" t="inlineStr">
        <is>
          <t xml:space="preserve">Not sure </t>
        </is>
      </c>
      <c r="BI128" t="inlineStr">
        <is>
          <t xml:space="preserve">No </t>
        </is>
      </c>
      <c r="BJ128" t="inlineStr">
        <is>
          <t xml:space="preserve">Very important </t>
        </is>
      </c>
      <c r="BK128" t="inlineStr">
        <is>
          <t xml:space="preserve">Did not screen partner </t>
        </is>
      </c>
      <c r="BM128" t="inlineStr">
        <is>
          <t xml:space="preserve">Did not think it was necessary </t>
        </is>
      </c>
      <c r="BP128" t="inlineStr">
        <is>
          <t xml:space="preserve">Agree </t>
        </is>
      </c>
      <c r="BQ128" t="inlineStr">
        <is>
          <t xml:space="preserve">Yes </t>
        </is>
      </c>
      <c r="BS128" t="inlineStr">
        <is>
          <t>Some</t>
        </is>
      </c>
      <c r="BT128" t="inlineStr">
        <is>
          <t>None</t>
        </is>
      </c>
      <c r="BU128" t="inlineStr">
        <is>
          <t>Don't know</t>
        </is>
      </c>
      <c r="BV128" t="inlineStr">
        <is>
          <t xml:space="preserve">Lack of knowledge </t>
        </is>
      </c>
      <c r="BW128" t="n">
        <v>1</v>
      </c>
      <c r="BX128" t="n">
        <v>0</v>
      </c>
      <c r="BY128" t="n">
        <v>0</v>
      </c>
      <c r="BZ128" t="n">
        <v>0</v>
      </c>
      <c r="CA128" t="n">
        <v>0</v>
      </c>
      <c r="CB128" t="n">
        <v>0</v>
      </c>
      <c r="CD128" t="inlineStr">
        <is>
          <t xml:space="preserve">Somewhat easy </t>
        </is>
      </c>
      <c r="CE128" t="inlineStr">
        <is>
          <t xml:space="preserve">Important </t>
        </is>
      </c>
      <c r="CF128" t="n">
        <v>598487853</v>
      </c>
      <c r="CG128" t="inlineStr">
        <is>
          <t>0eb77862-481c-4f04-8c8c-c7067d7714ae</t>
        </is>
      </c>
      <c r="CH128" s="1" t="n">
        <v>45966.1971875</v>
      </c>
      <c r="CK128" t="inlineStr">
        <is>
          <t>submitted_via_web</t>
        </is>
      </c>
      <c r="CM128" t="inlineStr">
        <is>
          <t>vteYUDpqfKnk39PHFZkvPS</t>
        </is>
      </c>
      <c r="CO128" t="inlineStr">
        <is>
          <t>uuid:0eb77862-481c-4f04-8c8c-c7067d7714ae</t>
        </is>
      </c>
      <c r="CP128" t="n">
        <v>127</v>
      </c>
      <c r="CQ128" t="n">
        <v>6</v>
      </c>
      <c r="CR128" t="n">
        <v>0.8544166434680093</v>
      </c>
    </row>
    <row r="129">
      <c r="A129" s="1" t="n">
        <v>45966.42634358796</v>
      </c>
      <c r="B129" s="1" t="n">
        <v>45966.44641267361</v>
      </c>
      <c r="D129" t="inlineStr">
        <is>
          <t>39</t>
        </is>
      </c>
      <c r="E129" t="inlineStr">
        <is>
          <t>Female</t>
        </is>
      </c>
      <c r="F129" t="inlineStr">
        <is>
          <t>Sinhalese</t>
        </is>
      </c>
      <c r="H129" t="inlineStr">
        <is>
          <t>Buddhist</t>
        </is>
      </c>
      <c r="J129" t="inlineStr">
        <is>
          <t>Not employed</t>
        </is>
      </c>
      <c r="L129" t="inlineStr">
        <is>
          <t xml:space="preserve">Up to O/L </t>
        </is>
      </c>
      <c r="M129" t="inlineStr">
        <is>
          <t xml:space="preserve">North Western </t>
        </is>
      </c>
      <c r="N129" t="inlineStr">
        <is>
          <t xml:space="preserve">Married </t>
        </is>
      </c>
      <c r="O129" t="inlineStr">
        <is>
          <t xml:space="preserve">Yes, more than one child </t>
        </is>
      </c>
      <c r="P129" t="inlineStr">
        <is>
          <t xml:space="preserve"> I don’t know</t>
        </is>
      </c>
      <c r="R129" s="1" t="n">
        <v>45384</v>
      </c>
      <c r="S129" t="inlineStr">
        <is>
          <t>Individual or family screening after a relative was diagnosed</t>
        </is>
      </c>
      <c r="U129" t="inlineStr">
        <is>
          <t>Yes</t>
        </is>
      </c>
      <c r="V129" t="inlineStr">
        <is>
          <t>Thalassemia major (severe form)   Thalassemia minor or trait (carrier form)</t>
        </is>
      </c>
      <c r="W129" t="n">
        <v>1</v>
      </c>
      <c r="X129" t="n">
        <v>1</v>
      </c>
      <c r="Y129" t="n">
        <v>0</v>
      </c>
      <c r="Z129" t="n">
        <v>0</v>
      </c>
      <c r="AA129" t="inlineStr">
        <is>
          <t xml:space="preserve">Thalassemia major (severe form)  </t>
        </is>
      </c>
      <c r="AB129" t="n">
        <v>1</v>
      </c>
      <c r="AC129" t="n">
        <v>0</v>
      </c>
      <c r="AD129" t="n">
        <v>0</v>
      </c>
      <c r="AE129" t="n">
        <v>0</v>
      </c>
      <c r="AF129" t="inlineStr">
        <is>
          <t>Thalassemia minor or trait (carrier form)</t>
        </is>
      </c>
      <c r="AG129" t="n">
        <v>0</v>
      </c>
      <c r="AH129" t="n">
        <v>1</v>
      </c>
      <c r="AI129" t="n">
        <v>0</v>
      </c>
      <c r="AJ129" t="n">
        <v>0</v>
      </c>
      <c r="AK129" t="inlineStr">
        <is>
          <t>Yes</t>
        </is>
      </c>
      <c r="AL129" t="inlineStr">
        <is>
          <t>Don’t know</t>
        </is>
      </c>
      <c r="AM129" t="inlineStr">
        <is>
          <t>Not sure</t>
        </is>
      </c>
      <c r="AN129" t="inlineStr">
        <is>
          <t>Don’t know</t>
        </is>
      </c>
      <c r="AO129" t="inlineStr">
        <is>
          <t>Healthy</t>
        </is>
      </c>
      <c r="AP129" t="inlineStr">
        <is>
          <t>Always affected by thalassemia</t>
        </is>
      </c>
      <c r="AQ129" t="inlineStr">
        <is>
          <t xml:space="preserve">Yes </t>
        </is>
      </c>
      <c r="AR129" t="inlineStr">
        <is>
          <t>Don’t know</t>
        </is>
      </c>
      <c r="AS129" t="inlineStr">
        <is>
          <t xml:space="preserve">Regular blood transfusions for life </t>
        </is>
      </c>
      <c r="AT129" t="n">
        <v>1</v>
      </c>
      <c r="AU129" t="n">
        <v>0</v>
      </c>
      <c r="AV129" t="n">
        <v>0</v>
      </c>
      <c r="AW129" t="n">
        <v>0</v>
      </c>
      <c r="AX129" t="n">
        <v>0</v>
      </c>
      <c r="AY129" t="n">
        <v>0</v>
      </c>
      <c r="AZ129" t="n">
        <v>0</v>
      </c>
      <c r="BA129" t="n">
        <v>0</v>
      </c>
      <c r="BB129" t="inlineStr">
        <is>
          <t xml:space="preserve">Get family members tested </t>
        </is>
      </c>
      <c r="BC129" t="n">
        <v>0</v>
      </c>
      <c r="BD129" t="n">
        <v>1</v>
      </c>
      <c r="BE129" t="n">
        <v>0</v>
      </c>
      <c r="BF129" t="n">
        <v>0</v>
      </c>
      <c r="BG129" t="inlineStr">
        <is>
          <t>Only found out after screening</t>
        </is>
      </c>
      <c r="BH129" t="inlineStr">
        <is>
          <t xml:space="preserve">Not sure </t>
        </is>
      </c>
      <c r="BI129" t="inlineStr">
        <is>
          <t xml:space="preserve">No </t>
        </is>
      </c>
      <c r="BJ129" t="inlineStr">
        <is>
          <t xml:space="preserve">Important </t>
        </is>
      </c>
      <c r="BK129" t="inlineStr">
        <is>
          <t xml:space="preserve">Did not screen partner </t>
        </is>
      </c>
      <c r="BM129" t="inlineStr">
        <is>
          <t xml:space="preserve">Did not think it was necessary </t>
        </is>
      </c>
      <c r="BP129" t="inlineStr">
        <is>
          <t xml:space="preserve">Agree </t>
        </is>
      </c>
      <c r="BQ129" t="inlineStr">
        <is>
          <t xml:space="preserve">Yes </t>
        </is>
      </c>
      <c r="BS129" t="inlineStr">
        <is>
          <t>Some</t>
        </is>
      </c>
      <c r="BT129" t="inlineStr">
        <is>
          <t>None</t>
        </is>
      </c>
      <c r="BU129" t="inlineStr">
        <is>
          <t>None</t>
        </is>
      </c>
      <c r="BV129" t="inlineStr">
        <is>
          <t xml:space="preserve">Lack of knowledge </t>
        </is>
      </c>
      <c r="BW129" t="n">
        <v>1</v>
      </c>
      <c r="BX129" t="n">
        <v>0</v>
      </c>
      <c r="BY129" t="n">
        <v>0</v>
      </c>
      <c r="BZ129" t="n">
        <v>0</v>
      </c>
      <c r="CA129" t="n">
        <v>0</v>
      </c>
      <c r="CB129" t="n">
        <v>0</v>
      </c>
      <c r="CD129" t="inlineStr">
        <is>
          <t xml:space="preserve">Somewhat easy </t>
        </is>
      </c>
      <c r="CE129" t="inlineStr">
        <is>
          <t xml:space="preserve">Important </t>
        </is>
      </c>
      <c r="CF129" t="n">
        <v>598499048</v>
      </c>
      <c r="CG129" t="inlineStr">
        <is>
          <t>07ebd3f6-3cec-4955-b8ca-4ea97e03ca8b</t>
        </is>
      </c>
      <c r="CH129" s="1" t="n">
        <v>45966.21725694444</v>
      </c>
      <c r="CK129" t="inlineStr">
        <is>
          <t>submitted_via_web</t>
        </is>
      </c>
      <c r="CM129" t="inlineStr">
        <is>
          <t>vteYUDpqfKnk39PHFZkvPS</t>
        </is>
      </c>
      <c r="CO129" t="inlineStr">
        <is>
          <t>uuid:07ebd3f6-3cec-4955-b8ca-4ea97e03ca8b</t>
        </is>
      </c>
      <c r="CP129" t="n">
        <v>128</v>
      </c>
      <c r="CQ129" t="n">
        <v>3</v>
      </c>
      <c r="CR129" t="n">
        <v>-0.3165225292847399</v>
      </c>
    </row>
    <row r="130">
      <c r="A130" s="1" t="n">
        <v>45966.44641299768</v>
      </c>
      <c r="B130" s="1" t="n">
        <v>45966.48347275463</v>
      </c>
      <c r="D130" t="inlineStr">
        <is>
          <t>61</t>
        </is>
      </c>
      <c r="E130" t="inlineStr">
        <is>
          <t xml:space="preserve">Male </t>
        </is>
      </c>
      <c r="F130" t="inlineStr">
        <is>
          <t>Sinhalese</t>
        </is>
      </c>
      <c r="H130" t="inlineStr">
        <is>
          <t>Buddhist</t>
        </is>
      </c>
      <c r="J130" t="inlineStr">
        <is>
          <t>Not employed</t>
        </is>
      </c>
      <c r="L130" t="inlineStr">
        <is>
          <t xml:space="preserve">Up to A/L </t>
        </is>
      </c>
      <c r="M130" t="inlineStr">
        <is>
          <t>Western</t>
        </is>
      </c>
      <c r="N130" t="inlineStr">
        <is>
          <t xml:space="preserve">Married </t>
        </is>
      </c>
      <c r="O130" t="inlineStr">
        <is>
          <t xml:space="preserve">Yes, more than one child </t>
        </is>
      </c>
      <c r="P130" t="inlineStr">
        <is>
          <t>No</t>
        </is>
      </c>
      <c r="R130" s="1" t="n">
        <v>44988</v>
      </c>
      <c r="S130" t="inlineStr">
        <is>
          <t>During community screening</t>
        </is>
      </c>
      <c r="U130" t="inlineStr">
        <is>
          <t>Yes</t>
        </is>
      </c>
      <c r="V130" t="inlineStr">
        <is>
          <t>I don’t know</t>
        </is>
      </c>
      <c r="W130" t="n">
        <v>0</v>
      </c>
      <c r="X130" t="n">
        <v>0</v>
      </c>
      <c r="Y130" t="n">
        <v>0</v>
      </c>
      <c r="Z130" t="n">
        <v>1</v>
      </c>
      <c r="AA130" t="inlineStr">
        <is>
          <t>I don’t know</t>
        </is>
      </c>
      <c r="AB130" t="n">
        <v>0</v>
      </c>
      <c r="AC130" t="n">
        <v>0</v>
      </c>
      <c r="AD130" t="n">
        <v>0</v>
      </c>
      <c r="AE130" t="n">
        <v>1</v>
      </c>
      <c r="AF130" t="inlineStr">
        <is>
          <t>Thalassemia minor or trait (carrier form)</t>
        </is>
      </c>
      <c r="AG130" t="n">
        <v>0</v>
      </c>
      <c r="AH130" t="n">
        <v>1</v>
      </c>
      <c r="AI130" t="n">
        <v>0</v>
      </c>
      <c r="AJ130" t="n">
        <v>0</v>
      </c>
      <c r="AK130" t="inlineStr">
        <is>
          <t>Don’t know</t>
        </is>
      </c>
      <c r="AL130" t="inlineStr">
        <is>
          <t>Don’t know</t>
        </is>
      </c>
      <c r="AM130" t="inlineStr">
        <is>
          <t>Not sure</t>
        </is>
      </c>
      <c r="AN130" t="inlineStr">
        <is>
          <t>Don’t know</t>
        </is>
      </c>
      <c r="AO130" t="inlineStr">
        <is>
          <t xml:space="preserve">Not healthy  </t>
        </is>
      </c>
      <c r="AP130" t="inlineStr">
        <is>
          <t>Don’t know</t>
        </is>
      </c>
      <c r="AQ130" t="inlineStr">
        <is>
          <t>No</t>
        </is>
      </c>
      <c r="AR130" t="inlineStr">
        <is>
          <t>Don’t know</t>
        </is>
      </c>
      <c r="AS130" t="inlineStr">
        <is>
          <t xml:space="preserve">Regular blood transfusions for life </t>
        </is>
      </c>
      <c r="AT130" t="n">
        <v>1</v>
      </c>
      <c r="AU130" t="n">
        <v>0</v>
      </c>
      <c r="AV130" t="n">
        <v>0</v>
      </c>
      <c r="AW130" t="n">
        <v>0</v>
      </c>
      <c r="AX130" t="n">
        <v>0</v>
      </c>
      <c r="AY130" t="n">
        <v>0</v>
      </c>
      <c r="AZ130" t="n">
        <v>0</v>
      </c>
      <c r="BA130" t="n">
        <v>0</v>
      </c>
      <c r="BB130" t="inlineStr">
        <is>
          <t>I don’t know</t>
        </is>
      </c>
      <c r="BC130" t="n">
        <v>0</v>
      </c>
      <c r="BD130" t="n">
        <v>0</v>
      </c>
      <c r="BE130" t="n">
        <v>0</v>
      </c>
      <c r="BF130" t="n">
        <v>1</v>
      </c>
      <c r="BG130" t="inlineStr">
        <is>
          <t>Only found out after screening</t>
        </is>
      </c>
      <c r="BH130" t="inlineStr">
        <is>
          <t>Definitely not</t>
        </is>
      </c>
      <c r="BI130" t="inlineStr">
        <is>
          <t xml:space="preserve">No </t>
        </is>
      </c>
      <c r="BJ130" t="inlineStr">
        <is>
          <t xml:space="preserve">Important </t>
        </is>
      </c>
      <c r="BK130" t="inlineStr">
        <is>
          <t xml:space="preserve">Did not screen partner </t>
        </is>
      </c>
      <c r="BM130" t="inlineStr">
        <is>
          <t xml:space="preserve">Did not think it was necessary </t>
        </is>
      </c>
      <c r="BP130" t="inlineStr">
        <is>
          <t xml:space="preserve">Agree </t>
        </is>
      </c>
      <c r="BQ130" t="inlineStr">
        <is>
          <t xml:space="preserve">Yes </t>
        </is>
      </c>
      <c r="BS130" t="inlineStr">
        <is>
          <t>Some</t>
        </is>
      </c>
      <c r="BT130" t="inlineStr">
        <is>
          <t>Don't know</t>
        </is>
      </c>
      <c r="BU130" t="inlineStr">
        <is>
          <t>Don't know</t>
        </is>
      </c>
      <c r="BV130" t="inlineStr">
        <is>
          <t xml:space="preserve">Lack of knowledge </t>
        </is>
      </c>
      <c r="BW130" t="n">
        <v>1</v>
      </c>
      <c r="BX130" t="n">
        <v>0</v>
      </c>
      <c r="BY130" t="n">
        <v>0</v>
      </c>
      <c r="BZ130" t="n">
        <v>0</v>
      </c>
      <c r="CA130" t="n">
        <v>0</v>
      </c>
      <c r="CB130" t="n">
        <v>0</v>
      </c>
      <c r="CD130" t="inlineStr">
        <is>
          <t xml:space="preserve">Somewhat easy </t>
        </is>
      </c>
      <c r="CE130" t="inlineStr">
        <is>
          <t xml:space="preserve">Important </t>
        </is>
      </c>
      <c r="CF130" t="n">
        <v>598527311</v>
      </c>
      <c r="CG130" t="inlineStr">
        <is>
          <t>21f0476f-db09-4f56-a59f-da500ee178d6</t>
        </is>
      </c>
      <c r="CH130" s="1" t="n">
        <v>45966.2543287037</v>
      </c>
      <c r="CK130" t="inlineStr">
        <is>
          <t>submitted_via_web</t>
        </is>
      </c>
      <c r="CM130" t="inlineStr">
        <is>
          <t>vteYUDpqfKnk39PHFZkvPS</t>
        </is>
      </c>
      <c r="CO130" t="inlineStr">
        <is>
          <t>uuid:21f0476f-db09-4f56-a59f-da500ee178d6</t>
        </is>
      </c>
      <c r="CP130" t="n">
        <v>129</v>
      </c>
      <c r="CQ130" t="n">
        <v>1</v>
      </c>
      <c r="CR130" t="n">
        <v>-1.097148644453239</v>
      </c>
    </row>
    <row r="131">
      <c r="A131" s="1" t="n">
        <v>45966.48347314815</v>
      </c>
      <c r="B131" s="1" t="n">
        <v>45966.49935623843</v>
      </c>
      <c r="D131" t="inlineStr">
        <is>
          <t>56</t>
        </is>
      </c>
      <c r="E131" t="inlineStr">
        <is>
          <t xml:space="preserve">Male </t>
        </is>
      </c>
      <c r="F131" t="inlineStr">
        <is>
          <t>Sinhalese</t>
        </is>
      </c>
      <c r="H131" t="inlineStr">
        <is>
          <t>Buddhist</t>
        </is>
      </c>
      <c r="J131" t="inlineStr">
        <is>
          <t>Private sector</t>
        </is>
      </c>
      <c r="K131" t="inlineStr">
        <is>
          <t>51,000 – 100,000</t>
        </is>
      </c>
      <c r="L131" t="inlineStr">
        <is>
          <t xml:space="preserve">Up to O/L </t>
        </is>
      </c>
      <c r="M131" t="inlineStr">
        <is>
          <t xml:space="preserve">North Western </t>
        </is>
      </c>
      <c r="N131" t="inlineStr">
        <is>
          <t xml:space="preserve">Married </t>
        </is>
      </c>
      <c r="O131" t="inlineStr">
        <is>
          <t xml:space="preserve">Yes, more than one child </t>
        </is>
      </c>
      <c r="P131" t="inlineStr">
        <is>
          <t>No</t>
        </is>
      </c>
      <c r="R131" s="1" t="n">
        <v>45018</v>
      </c>
      <c r="S131" t="inlineStr">
        <is>
          <t>During community screening</t>
        </is>
      </c>
      <c r="U131" t="inlineStr">
        <is>
          <t>Yes</t>
        </is>
      </c>
      <c r="V131" t="inlineStr">
        <is>
          <t>Thalassemia major (severe form)   Thalassemia minor or trait (carrier form)</t>
        </is>
      </c>
      <c r="W131" t="n">
        <v>1</v>
      </c>
      <c r="X131" t="n">
        <v>1</v>
      </c>
      <c r="Y131" t="n">
        <v>0</v>
      </c>
      <c r="Z131" t="n">
        <v>0</v>
      </c>
      <c r="AA131" t="inlineStr">
        <is>
          <t xml:space="preserve">Thalassemia major (severe form)  </t>
        </is>
      </c>
      <c r="AB131" t="n">
        <v>1</v>
      </c>
      <c r="AC131" t="n">
        <v>0</v>
      </c>
      <c r="AD131" t="n">
        <v>0</v>
      </c>
      <c r="AE131" t="n">
        <v>0</v>
      </c>
      <c r="AF131" t="inlineStr">
        <is>
          <t>Thalassemia minor or trait (carrier form)</t>
        </is>
      </c>
      <c r="AG131" t="n">
        <v>0</v>
      </c>
      <c r="AH131" t="n">
        <v>1</v>
      </c>
      <c r="AI131" t="n">
        <v>0</v>
      </c>
      <c r="AJ131" t="n">
        <v>0</v>
      </c>
      <c r="AK131" t="inlineStr">
        <is>
          <t>No</t>
        </is>
      </c>
      <c r="AL131" t="inlineStr">
        <is>
          <t xml:space="preserve">Cannot be cured   </t>
        </is>
      </c>
      <c r="AM131" t="inlineStr">
        <is>
          <t xml:space="preserve">Can be prevented </t>
        </is>
      </c>
      <c r="AN131" t="inlineStr">
        <is>
          <t xml:space="preserve">From generation to generation (hereditary)  </t>
        </is>
      </c>
      <c r="AO131" t="inlineStr">
        <is>
          <t>Healthy</t>
        </is>
      </c>
      <c r="AP131" t="inlineStr">
        <is>
          <t>Always affected by thalassemia</t>
        </is>
      </c>
      <c r="AQ131" t="inlineStr">
        <is>
          <t xml:space="preserve">Yes </t>
        </is>
      </c>
      <c r="AR131" t="inlineStr">
        <is>
          <t>Don’t know</t>
        </is>
      </c>
      <c r="AS131" t="inlineStr">
        <is>
          <t>Regular blood transfusions for life  Delayed growth and puberty Risk of infections from transfusions Frequent nosebleeds Fatigue</t>
        </is>
      </c>
      <c r="AT131" t="n">
        <v>1</v>
      </c>
      <c r="AU131" t="n">
        <v>0</v>
      </c>
      <c r="AV131" t="n">
        <v>1</v>
      </c>
      <c r="AW131" t="n">
        <v>0</v>
      </c>
      <c r="AX131" t="n">
        <v>1</v>
      </c>
      <c r="AY131" t="n">
        <v>1</v>
      </c>
      <c r="AZ131" t="n">
        <v>1</v>
      </c>
      <c r="BA131" t="n">
        <v>0</v>
      </c>
      <c r="BB131" t="inlineStr">
        <is>
          <t xml:space="preserve"> Get the partner tested before marriage   Get family members tested </t>
        </is>
      </c>
      <c r="BC131" t="n">
        <v>1</v>
      </c>
      <c r="BD131" t="n">
        <v>1</v>
      </c>
      <c r="BE131" t="n">
        <v>0</v>
      </c>
      <c r="BF131" t="n">
        <v>0</v>
      </c>
      <c r="BG131" t="inlineStr">
        <is>
          <t>Only found out after screening</t>
        </is>
      </c>
      <c r="BH131" t="inlineStr">
        <is>
          <t>Definitely not</t>
        </is>
      </c>
      <c r="BI131" t="inlineStr">
        <is>
          <t xml:space="preserve">No </t>
        </is>
      </c>
      <c r="BJ131" t="inlineStr">
        <is>
          <t xml:space="preserve">Very important </t>
        </is>
      </c>
      <c r="BK131" t="inlineStr">
        <is>
          <t xml:space="preserve"> Partner was screened after marriage </t>
        </is>
      </c>
      <c r="BP131" t="inlineStr">
        <is>
          <t xml:space="preserve">Agree </t>
        </is>
      </c>
      <c r="BQ131" t="inlineStr">
        <is>
          <t xml:space="preserve">Yes </t>
        </is>
      </c>
      <c r="BS131" t="inlineStr">
        <is>
          <t>Some</t>
        </is>
      </c>
      <c r="BT131" t="inlineStr">
        <is>
          <t>Some</t>
        </is>
      </c>
      <c r="BU131" t="inlineStr">
        <is>
          <t>Don't know</t>
        </is>
      </c>
      <c r="BV131" t="inlineStr">
        <is>
          <t>Cost or access issues</t>
        </is>
      </c>
      <c r="BW131" t="n">
        <v>0</v>
      </c>
      <c r="BX131" t="n">
        <v>0</v>
      </c>
      <c r="BY131" t="n">
        <v>0</v>
      </c>
      <c r="BZ131" t="n">
        <v>0</v>
      </c>
      <c r="CA131" t="n">
        <v>1</v>
      </c>
      <c r="CB131" t="n">
        <v>0</v>
      </c>
      <c r="CD131" t="inlineStr">
        <is>
          <t xml:space="preserve">Somewhat easy </t>
        </is>
      </c>
      <c r="CE131" t="inlineStr">
        <is>
          <t xml:space="preserve">Important </t>
        </is>
      </c>
      <c r="CF131" t="n">
        <v>598543053</v>
      </c>
      <c r="CG131" t="inlineStr">
        <is>
          <t>8ec1115b-4e79-4348-81da-df50360c8da7</t>
        </is>
      </c>
      <c r="CH131" s="1" t="n">
        <v>45966.27019675926</v>
      </c>
      <c r="CK131" t="inlineStr">
        <is>
          <t>submitted_via_web</t>
        </is>
      </c>
      <c r="CM131" t="inlineStr">
        <is>
          <t>vteYUDpqfKnk39PHFZkvPS</t>
        </is>
      </c>
      <c r="CO131" t="inlineStr">
        <is>
          <t>uuid:8ec1115b-4e79-4348-81da-df50360c8da7</t>
        </is>
      </c>
      <c r="CP131" t="n">
        <v>130</v>
      </c>
      <c r="CQ131" t="n">
        <v>7</v>
      </c>
      <c r="CR131" t="n">
        <v>1.244729701052259</v>
      </c>
    </row>
    <row r="132">
      <c r="A132" s="1" t="n">
        <v>45966.49935659723</v>
      </c>
      <c r="B132" s="1" t="n">
        <v>45966.51866631945</v>
      </c>
      <c r="D132" t="inlineStr">
        <is>
          <t>28</t>
        </is>
      </c>
      <c r="E132" t="inlineStr">
        <is>
          <t>Female</t>
        </is>
      </c>
      <c r="F132" t="inlineStr">
        <is>
          <t>Tamil</t>
        </is>
      </c>
      <c r="H132" t="inlineStr">
        <is>
          <t>Hindu</t>
        </is>
      </c>
      <c r="J132" t="inlineStr">
        <is>
          <t>Government sector</t>
        </is>
      </c>
      <c r="K132" t="inlineStr">
        <is>
          <t>&gt; 100,000</t>
        </is>
      </c>
      <c r="L132" t="inlineStr">
        <is>
          <t xml:space="preserve">Undergraduate </t>
        </is>
      </c>
      <c r="M132" t="inlineStr">
        <is>
          <t>Eastern</t>
        </is>
      </c>
      <c r="N132" t="inlineStr">
        <is>
          <t xml:space="preserve">Married </t>
        </is>
      </c>
      <c r="O132" t="inlineStr">
        <is>
          <t>No children</t>
        </is>
      </c>
      <c r="P132" t="inlineStr">
        <is>
          <t xml:space="preserve"> I don’t know</t>
        </is>
      </c>
      <c r="R132" s="1" t="n">
        <v>45159</v>
      </c>
      <c r="S132" t="inlineStr">
        <is>
          <t xml:space="preserve">During school/university  </t>
        </is>
      </c>
      <c r="U132" t="inlineStr">
        <is>
          <t>Yes</t>
        </is>
      </c>
      <c r="V132" t="inlineStr">
        <is>
          <t>Thalassemia major (severe form)   Thalassemia minor or trait (carrier form)</t>
        </is>
      </c>
      <c r="W132" t="n">
        <v>1</v>
      </c>
      <c r="X132" t="n">
        <v>1</v>
      </c>
      <c r="Y132" t="n">
        <v>0</v>
      </c>
      <c r="Z132" t="n">
        <v>0</v>
      </c>
      <c r="AA132" t="inlineStr">
        <is>
          <t xml:space="preserve">Thalassemia major (severe form)  </t>
        </is>
      </c>
      <c r="AB132" t="n">
        <v>1</v>
      </c>
      <c r="AC132" t="n">
        <v>0</v>
      </c>
      <c r="AD132" t="n">
        <v>0</v>
      </c>
      <c r="AE132" t="n">
        <v>0</v>
      </c>
      <c r="AF132" t="inlineStr">
        <is>
          <t>Thalassemia minor or trait (carrier form)</t>
        </is>
      </c>
      <c r="AG132" t="n">
        <v>0</v>
      </c>
      <c r="AH132" t="n">
        <v>1</v>
      </c>
      <c r="AI132" t="n">
        <v>0</v>
      </c>
      <c r="AJ132" t="n">
        <v>0</v>
      </c>
      <c r="AK132" t="inlineStr">
        <is>
          <t>Yes</t>
        </is>
      </c>
      <c r="AL132" t="inlineStr">
        <is>
          <t xml:space="preserve">Cannot be cured   </t>
        </is>
      </c>
      <c r="AM132" t="inlineStr">
        <is>
          <t xml:space="preserve">Can be prevented </t>
        </is>
      </c>
      <c r="AN132" t="inlineStr">
        <is>
          <t xml:space="preserve">From generation to generation (hereditary)  </t>
        </is>
      </c>
      <c r="AO132" t="inlineStr">
        <is>
          <t xml:space="preserve">Not healthy  </t>
        </is>
      </c>
      <c r="AP132" t="inlineStr">
        <is>
          <t>Always affected by thalassemia</t>
        </is>
      </c>
      <c r="AR132" t="inlineStr">
        <is>
          <t>Don’t know</t>
        </is>
      </c>
      <c r="AS132" t="inlineStr">
        <is>
          <t>Regular blood transfusions for life  Iron overload affecting heart and liver  Delayed growth and puberty Risk of infections from transfusions Frequent nosebleeds Fatigue Bone deformities</t>
        </is>
      </c>
      <c r="AT132" t="n">
        <v>1</v>
      </c>
      <c r="AU132" t="n">
        <v>1</v>
      </c>
      <c r="AV132" t="n">
        <v>1</v>
      </c>
      <c r="AW132" t="n">
        <v>0</v>
      </c>
      <c r="AX132" t="n">
        <v>1</v>
      </c>
      <c r="AY132" t="n">
        <v>1</v>
      </c>
      <c r="AZ132" t="n">
        <v>1</v>
      </c>
      <c r="BA132" t="n">
        <v>1</v>
      </c>
      <c r="BB132" t="inlineStr">
        <is>
          <t xml:space="preserve"> Get the partner tested before marriage   Get family members tested </t>
        </is>
      </c>
      <c r="BC132" t="n">
        <v>1</v>
      </c>
      <c r="BD132" t="n">
        <v>1</v>
      </c>
      <c r="BE132" t="n">
        <v>0</v>
      </c>
      <c r="BF132" t="n">
        <v>0</v>
      </c>
      <c r="BG132" t="inlineStr">
        <is>
          <t xml:space="preserve">Healthcare staff (doctors and nurses) </t>
        </is>
      </c>
      <c r="BH132" t="inlineStr">
        <is>
          <t xml:space="preserve">Not sure </t>
        </is>
      </c>
      <c r="BI132" t="inlineStr">
        <is>
          <t xml:space="preserve">No </t>
        </is>
      </c>
      <c r="BJ132" t="inlineStr">
        <is>
          <t xml:space="preserve">Important </t>
        </is>
      </c>
      <c r="BK132" t="inlineStr">
        <is>
          <t xml:space="preserve">Did not screen partner </t>
        </is>
      </c>
      <c r="BM132" t="inlineStr">
        <is>
          <t>Other</t>
        </is>
      </c>
      <c r="BN132" t="inlineStr">
        <is>
          <t>Busy with work</t>
        </is>
      </c>
      <c r="BP132" t="inlineStr">
        <is>
          <t xml:space="preserve">Agree </t>
        </is>
      </c>
      <c r="BQ132" t="inlineStr">
        <is>
          <t xml:space="preserve">Yes </t>
        </is>
      </c>
      <c r="BS132" t="inlineStr">
        <is>
          <t>None</t>
        </is>
      </c>
      <c r="BT132" t="inlineStr">
        <is>
          <t>None</t>
        </is>
      </c>
      <c r="BU132" t="inlineStr">
        <is>
          <t>Don't know</t>
        </is>
      </c>
      <c r="BV132" t="inlineStr">
        <is>
          <t>Cost or access issues</t>
        </is>
      </c>
      <c r="BW132" t="n">
        <v>0</v>
      </c>
      <c r="BX132" t="n">
        <v>0</v>
      </c>
      <c r="BY132" t="n">
        <v>0</v>
      </c>
      <c r="BZ132" t="n">
        <v>0</v>
      </c>
      <c r="CA132" t="n">
        <v>1</v>
      </c>
      <c r="CB132" t="n">
        <v>0</v>
      </c>
      <c r="CD132" t="inlineStr">
        <is>
          <t>Not sure</t>
        </is>
      </c>
      <c r="CE132" t="inlineStr">
        <is>
          <t xml:space="preserve">Important </t>
        </is>
      </c>
      <c r="CF132" t="n">
        <v>598561362</v>
      </c>
      <c r="CG132" t="inlineStr">
        <is>
          <t>c3a9e56b-5e07-4c34-9bb4-a3d380f23e3b</t>
        </is>
      </c>
      <c r="CH132" s="1" t="n">
        <v>45966.28950231482</v>
      </c>
      <c r="CK132" t="inlineStr">
        <is>
          <t>submitted_via_web</t>
        </is>
      </c>
      <c r="CM132" t="inlineStr">
        <is>
          <t>vteYUDpqfKnk39PHFZkvPS</t>
        </is>
      </c>
      <c r="CO132" t="inlineStr">
        <is>
          <t>uuid:c3a9e56b-5e07-4c34-9bb4-a3d380f23e3b</t>
        </is>
      </c>
      <c r="CP132" t="n">
        <v>131</v>
      </c>
      <c r="CQ132" t="n">
        <v>9</v>
      </c>
      <c r="CR132" t="n">
        <v>2.025355816220758</v>
      </c>
    </row>
    <row r="133">
      <c r="A133" s="1" t="n">
        <v>45966.51866667824</v>
      </c>
      <c r="B133" s="1" t="n">
        <v>45966.53065254629</v>
      </c>
      <c r="D133" t="inlineStr">
        <is>
          <t>24</t>
        </is>
      </c>
      <c r="E133" t="inlineStr">
        <is>
          <t xml:space="preserve">Male </t>
        </is>
      </c>
      <c r="F133" t="inlineStr">
        <is>
          <t>Sinhalese</t>
        </is>
      </c>
      <c r="H133" t="inlineStr">
        <is>
          <t>Buddhist</t>
        </is>
      </c>
      <c r="J133" t="inlineStr">
        <is>
          <t>Not employed</t>
        </is>
      </c>
      <c r="L133" t="inlineStr">
        <is>
          <t xml:space="preserve">Undergraduate </t>
        </is>
      </c>
      <c r="M133" t="inlineStr">
        <is>
          <t>Western</t>
        </is>
      </c>
      <c r="N133" t="inlineStr">
        <is>
          <t>Single</t>
        </is>
      </c>
      <c r="P133" t="inlineStr">
        <is>
          <t>No</t>
        </is>
      </c>
      <c r="R133" s="1" t="n">
        <v>43524</v>
      </c>
      <c r="S133" t="inlineStr">
        <is>
          <t xml:space="preserve">During school/university  </t>
        </is>
      </c>
      <c r="U133" t="inlineStr">
        <is>
          <t>Don’t know</t>
        </is>
      </c>
      <c r="V133" t="inlineStr">
        <is>
          <t>Thalassemia major (severe form)   Thalassemia minor or trait (carrier form)</t>
        </is>
      </c>
      <c r="W133" t="n">
        <v>1</v>
      </c>
      <c r="X133" t="n">
        <v>1</v>
      </c>
      <c r="Y133" t="n">
        <v>0</v>
      </c>
      <c r="Z133" t="n">
        <v>0</v>
      </c>
      <c r="AA133" t="inlineStr">
        <is>
          <t xml:space="preserve">Thalassemia major (severe form)  </t>
        </is>
      </c>
      <c r="AB133" t="n">
        <v>1</v>
      </c>
      <c r="AC133" t="n">
        <v>0</v>
      </c>
      <c r="AD133" t="n">
        <v>0</v>
      </c>
      <c r="AE133" t="n">
        <v>0</v>
      </c>
      <c r="AF133" t="inlineStr">
        <is>
          <t>Thalassemia minor or trait (carrier form)</t>
        </is>
      </c>
      <c r="AG133" t="n">
        <v>0</v>
      </c>
      <c r="AH133" t="n">
        <v>1</v>
      </c>
      <c r="AI133" t="n">
        <v>0</v>
      </c>
      <c r="AJ133" t="n">
        <v>0</v>
      </c>
      <c r="AK133" t="inlineStr">
        <is>
          <t>Yes</t>
        </is>
      </c>
      <c r="AL133" t="inlineStr">
        <is>
          <t xml:space="preserve">Cannot be cured   </t>
        </is>
      </c>
      <c r="AM133" t="inlineStr">
        <is>
          <t xml:space="preserve">Can be prevented </t>
        </is>
      </c>
      <c r="AN133" t="inlineStr">
        <is>
          <t xml:space="preserve">From generation to generation (hereditary)  </t>
        </is>
      </c>
      <c r="AO133" t="inlineStr">
        <is>
          <t>Healthy</t>
        </is>
      </c>
      <c r="AP133" t="inlineStr">
        <is>
          <t xml:space="preserve">Has a chance to be affected (e.g., 25%) </t>
        </is>
      </c>
      <c r="AQ133" t="inlineStr">
        <is>
          <t xml:space="preserve">Yes </t>
        </is>
      </c>
      <c r="AR133" t="inlineStr">
        <is>
          <t>Don’t know</t>
        </is>
      </c>
      <c r="AS133" t="inlineStr">
        <is>
          <t>Bone deformities</t>
        </is>
      </c>
      <c r="AT133" t="n">
        <v>0</v>
      </c>
      <c r="AU133" t="n">
        <v>0</v>
      </c>
      <c r="AV133" t="n">
        <v>0</v>
      </c>
      <c r="AW133" t="n">
        <v>0</v>
      </c>
      <c r="AX133" t="n">
        <v>0</v>
      </c>
      <c r="AY133" t="n">
        <v>0</v>
      </c>
      <c r="AZ133" t="n">
        <v>0</v>
      </c>
      <c r="BA133" t="n">
        <v>1</v>
      </c>
      <c r="BB133" t="inlineStr">
        <is>
          <t xml:space="preserve"> Get the partner tested before marriage   Get family members tested </t>
        </is>
      </c>
      <c r="BC133" t="n">
        <v>1</v>
      </c>
      <c r="BD133" t="n">
        <v>1</v>
      </c>
      <c r="BE133" t="n">
        <v>0</v>
      </c>
      <c r="BF133" t="n">
        <v>0</v>
      </c>
      <c r="BG133" t="inlineStr">
        <is>
          <t>Only found out after screening</t>
        </is>
      </c>
      <c r="BH133" t="inlineStr">
        <is>
          <t>Definitely not</t>
        </is>
      </c>
      <c r="BI133" t="inlineStr">
        <is>
          <t xml:space="preserve">No </t>
        </is>
      </c>
      <c r="BJ133" t="inlineStr">
        <is>
          <t xml:space="preserve">Very important </t>
        </is>
      </c>
      <c r="BP133" t="inlineStr">
        <is>
          <t xml:space="preserve">Agree </t>
        </is>
      </c>
      <c r="BQ133" t="inlineStr">
        <is>
          <t xml:space="preserve">Yes </t>
        </is>
      </c>
      <c r="BS133" t="inlineStr">
        <is>
          <t>None</t>
        </is>
      </c>
      <c r="BT133" t="inlineStr">
        <is>
          <t>None</t>
        </is>
      </c>
      <c r="BU133" t="inlineStr">
        <is>
          <t>Don't know</t>
        </is>
      </c>
      <c r="BV133" t="inlineStr">
        <is>
          <t xml:space="preserve">Lack of knowledge </t>
        </is>
      </c>
      <c r="BW133" t="n">
        <v>1</v>
      </c>
      <c r="BX133" t="n">
        <v>0</v>
      </c>
      <c r="BY133" t="n">
        <v>0</v>
      </c>
      <c r="BZ133" t="n">
        <v>0</v>
      </c>
      <c r="CA133" t="n">
        <v>0</v>
      </c>
      <c r="CB133" t="n">
        <v>0</v>
      </c>
      <c r="CD133" t="inlineStr">
        <is>
          <t>Not sure</t>
        </is>
      </c>
      <c r="CE133" t="inlineStr">
        <is>
          <t xml:space="preserve">Important </t>
        </is>
      </c>
      <c r="CF133" t="n">
        <v>598573263</v>
      </c>
      <c r="CG133" t="inlineStr">
        <is>
          <t>d98c18f0-9232-4219-bb3f-84a8983cd801</t>
        </is>
      </c>
      <c r="CH133" s="1" t="n">
        <v>45966.30150462963</v>
      </c>
      <c r="CK133" t="inlineStr">
        <is>
          <t>submitted_via_web</t>
        </is>
      </c>
      <c r="CM133" t="inlineStr">
        <is>
          <t>vteYUDpqfKnk39PHFZkvPS</t>
        </is>
      </c>
      <c r="CO133" t="inlineStr">
        <is>
          <t>uuid:d98c18f0-9232-4219-bb3f-84a8983cd801</t>
        </is>
      </c>
      <c r="CP133" t="n">
        <v>132</v>
      </c>
      <c r="CQ133" t="n">
        <v>3</v>
      </c>
      <c r="CR133" t="n">
        <v>-0.3165225292847399</v>
      </c>
    </row>
    <row r="134">
      <c r="A134" s="1" t="n">
        <v>45966.53065290509</v>
      </c>
      <c r="B134" s="1" t="n">
        <v>45966.54182901621</v>
      </c>
      <c r="D134" t="inlineStr">
        <is>
          <t>37</t>
        </is>
      </c>
      <c r="E134" t="inlineStr">
        <is>
          <t xml:space="preserve">Male </t>
        </is>
      </c>
      <c r="F134" t="inlineStr">
        <is>
          <t>Sinhalese</t>
        </is>
      </c>
      <c r="H134" t="inlineStr">
        <is>
          <t>Buddhist</t>
        </is>
      </c>
      <c r="J134" t="inlineStr">
        <is>
          <t>Private sector</t>
        </is>
      </c>
      <c r="K134" t="inlineStr">
        <is>
          <t>51,000 – 100,000</t>
        </is>
      </c>
      <c r="L134" t="inlineStr">
        <is>
          <t xml:space="preserve">Up to A/L </t>
        </is>
      </c>
      <c r="M134" t="inlineStr">
        <is>
          <t>Uva</t>
        </is>
      </c>
      <c r="N134" t="inlineStr">
        <is>
          <t xml:space="preserve">Married </t>
        </is>
      </c>
      <c r="O134" t="inlineStr">
        <is>
          <t>No children</t>
        </is>
      </c>
      <c r="P134" t="inlineStr">
        <is>
          <t xml:space="preserve"> I don’t know</t>
        </is>
      </c>
      <c r="R134" s="1" t="n">
        <v>43525</v>
      </c>
      <c r="S134" t="inlineStr">
        <is>
          <t>During community screening</t>
        </is>
      </c>
      <c r="U134" t="inlineStr">
        <is>
          <t>Don’t know</t>
        </is>
      </c>
      <c r="V134" t="inlineStr">
        <is>
          <t>Thalassemia major (severe form)   Thalassemia minor or trait (carrier form)</t>
        </is>
      </c>
      <c r="W134" t="n">
        <v>1</v>
      </c>
      <c r="X134" t="n">
        <v>1</v>
      </c>
      <c r="Y134" t="n">
        <v>0</v>
      </c>
      <c r="Z134" t="n">
        <v>0</v>
      </c>
      <c r="AA134" t="inlineStr">
        <is>
          <t xml:space="preserve">Thalassemia major (severe form)  </t>
        </is>
      </c>
      <c r="AB134" t="n">
        <v>1</v>
      </c>
      <c r="AC134" t="n">
        <v>0</v>
      </c>
      <c r="AD134" t="n">
        <v>0</v>
      </c>
      <c r="AE134" t="n">
        <v>0</v>
      </c>
      <c r="AF134" t="inlineStr">
        <is>
          <t>Thalassemia minor or trait (carrier form)</t>
        </is>
      </c>
      <c r="AG134" t="n">
        <v>0</v>
      </c>
      <c r="AH134" t="n">
        <v>1</v>
      </c>
      <c r="AI134" t="n">
        <v>0</v>
      </c>
      <c r="AJ134" t="n">
        <v>0</v>
      </c>
      <c r="AK134" t="inlineStr">
        <is>
          <t>Don’t know</t>
        </is>
      </c>
      <c r="AL134" t="inlineStr">
        <is>
          <t xml:space="preserve">Cannot be cured   </t>
        </is>
      </c>
      <c r="AM134" t="inlineStr">
        <is>
          <t xml:space="preserve">Can be prevented </t>
        </is>
      </c>
      <c r="AN134" t="inlineStr">
        <is>
          <t xml:space="preserve">From generation to generation (hereditary)  </t>
        </is>
      </c>
      <c r="AO134" t="inlineStr">
        <is>
          <t>Healthy</t>
        </is>
      </c>
      <c r="AP134" t="inlineStr">
        <is>
          <t>Always affected by thalassemia</t>
        </is>
      </c>
      <c r="AR134" t="inlineStr">
        <is>
          <t>Don’t know</t>
        </is>
      </c>
      <c r="BB134" t="inlineStr">
        <is>
          <t xml:space="preserve"> Get the partner tested before marriage   Get family members tested </t>
        </is>
      </c>
      <c r="BC134" t="n">
        <v>1</v>
      </c>
      <c r="BD134" t="n">
        <v>1</v>
      </c>
      <c r="BE134" t="n">
        <v>0</v>
      </c>
      <c r="BF134" t="n">
        <v>0</v>
      </c>
      <c r="BG134" t="inlineStr">
        <is>
          <t>Only found out after screening</t>
        </is>
      </c>
      <c r="BH134" t="inlineStr">
        <is>
          <t xml:space="preserve">Yes I am willing </t>
        </is>
      </c>
      <c r="BI134" t="inlineStr">
        <is>
          <t xml:space="preserve">No </t>
        </is>
      </c>
      <c r="BJ134" t="inlineStr">
        <is>
          <t xml:space="preserve">Important </t>
        </is>
      </c>
      <c r="BK134" t="inlineStr">
        <is>
          <t xml:space="preserve">Did not screen partner </t>
        </is>
      </c>
      <c r="BM134" t="inlineStr">
        <is>
          <t xml:space="preserve">Did not think it was necessary </t>
        </is>
      </c>
      <c r="BP134" t="inlineStr">
        <is>
          <t xml:space="preserve">Agree </t>
        </is>
      </c>
      <c r="BQ134" t="inlineStr">
        <is>
          <t xml:space="preserve">Yes </t>
        </is>
      </c>
      <c r="BS134" t="inlineStr">
        <is>
          <t>None</t>
        </is>
      </c>
      <c r="BT134" t="inlineStr">
        <is>
          <t>None</t>
        </is>
      </c>
      <c r="BU134" t="inlineStr">
        <is>
          <t>None</t>
        </is>
      </c>
      <c r="BV134" t="inlineStr">
        <is>
          <t>Perception that screening was unnecessary Cost or access issues</t>
        </is>
      </c>
      <c r="BW134" t="n">
        <v>0</v>
      </c>
      <c r="BX134" t="n">
        <v>0</v>
      </c>
      <c r="BY134" t="n">
        <v>0</v>
      </c>
      <c r="BZ134" t="n">
        <v>1</v>
      </c>
      <c r="CA134" t="n">
        <v>1</v>
      </c>
      <c r="CB134" t="n">
        <v>0</v>
      </c>
      <c r="CD134" t="inlineStr">
        <is>
          <t>Not sure</t>
        </is>
      </c>
      <c r="CE134" t="inlineStr">
        <is>
          <t xml:space="preserve">Important </t>
        </is>
      </c>
      <c r="CF134" t="n">
        <v>598583996</v>
      </c>
      <c r="CG134" t="inlineStr">
        <is>
          <t>2f77ee79-86d4-4ab4-949f-8cfe2b5b3e0a</t>
        </is>
      </c>
      <c r="CH134" s="1" t="n">
        <v>45966.31267361111</v>
      </c>
      <c r="CK134" t="inlineStr">
        <is>
          <t>submitted_via_web</t>
        </is>
      </c>
      <c r="CM134" t="inlineStr">
        <is>
          <t>vteYUDpqfKnk39PHFZkvPS</t>
        </is>
      </c>
      <c r="CO134" t="inlineStr">
        <is>
          <t>uuid:2f77ee79-86d4-4ab4-949f-8cfe2b5b3e0a</t>
        </is>
      </c>
      <c r="CP134" t="n">
        <v>133</v>
      </c>
      <c r="CQ134" t="n">
        <v>2</v>
      </c>
      <c r="CR134" t="n">
        <v>-0.7068355868689896</v>
      </c>
    </row>
    <row r="135">
      <c r="A135" s="1" t="n">
        <v>45966.76275836806</v>
      </c>
      <c r="B135" s="1" t="n">
        <v>45966.76842451389</v>
      </c>
      <c r="D135" t="inlineStr">
        <is>
          <t>25</t>
        </is>
      </c>
      <c r="E135" t="inlineStr">
        <is>
          <t xml:space="preserve">Male </t>
        </is>
      </c>
      <c r="F135" t="inlineStr">
        <is>
          <t>Sinhalese</t>
        </is>
      </c>
      <c r="H135" t="inlineStr">
        <is>
          <t>Buddhist</t>
        </is>
      </c>
      <c r="J135" t="inlineStr">
        <is>
          <t>Private sector</t>
        </is>
      </c>
      <c r="K135" t="inlineStr">
        <is>
          <t>51,000 – 100,000</t>
        </is>
      </c>
      <c r="L135" t="inlineStr">
        <is>
          <t xml:space="preserve">Up to A/L </t>
        </is>
      </c>
      <c r="M135" t="inlineStr">
        <is>
          <t>Western</t>
        </is>
      </c>
      <c r="N135" t="inlineStr">
        <is>
          <t>Single</t>
        </is>
      </c>
      <c r="P135" t="inlineStr">
        <is>
          <t xml:space="preserve"> I don’t know</t>
        </is>
      </c>
      <c r="R135" s="1" t="n">
        <v>45293</v>
      </c>
      <c r="S135" t="inlineStr">
        <is>
          <t>At workplace</t>
        </is>
      </c>
      <c r="U135" t="inlineStr">
        <is>
          <t>Yes</t>
        </is>
      </c>
      <c r="V135" t="inlineStr">
        <is>
          <t>Thalassemia major (severe form)   Thalassemia minor or trait (carrier form)</t>
        </is>
      </c>
      <c r="W135" t="n">
        <v>1</v>
      </c>
      <c r="X135" t="n">
        <v>1</v>
      </c>
      <c r="Y135" t="n">
        <v>0</v>
      </c>
      <c r="Z135" t="n">
        <v>0</v>
      </c>
      <c r="AA135" t="inlineStr">
        <is>
          <t xml:space="preserve">Thalassemia major (severe form)  </t>
        </is>
      </c>
      <c r="AB135" t="n">
        <v>1</v>
      </c>
      <c r="AC135" t="n">
        <v>0</v>
      </c>
      <c r="AD135" t="n">
        <v>0</v>
      </c>
      <c r="AE135" t="n">
        <v>0</v>
      </c>
      <c r="AF135" t="inlineStr">
        <is>
          <t>Thalassemia minor or trait (carrier form)</t>
        </is>
      </c>
      <c r="AG135" t="n">
        <v>0</v>
      </c>
      <c r="AH135" t="n">
        <v>1</v>
      </c>
      <c r="AI135" t="n">
        <v>0</v>
      </c>
      <c r="AJ135" t="n">
        <v>0</v>
      </c>
      <c r="AK135" t="inlineStr">
        <is>
          <t>Don’t know</t>
        </is>
      </c>
      <c r="AL135" t="inlineStr">
        <is>
          <t>Don’t know</t>
        </is>
      </c>
      <c r="AM135" t="inlineStr">
        <is>
          <t xml:space="preserve">Can be prevented </t>
        </is>
      </c>
      <c r="AN135" t="inlineStr">
        <is>
          <t xml:space="preserve">From generation to generation (hereditary)  </t>
        </is>
      </c>
      <c r="AO135" t="inlineStr">
        <is>
          <t xml:space="preserve">Not healthy  </t>
        </is>
      </c>
      <c r="AP135" t="inlineStr">
        <is>
          <t>Always affected by thalassemia</t>
        </is>
      </c>
      <c r="AQ135" t="inlineStr">
        <is>
          <t xml:space="preserve">Yes </t>
        </is>
      </c>
      <c r="AR135" t="inlineStr">
        <is>
          <t>Don’t know</t>
        </is>
      </c>
      <c r="AS135" t="inlineStr">
        <is>
          <t>Regular blood transfusions for life  Iron overload affecting heart and liver  Delayed growth and puberty Risk of infections from transfusions Fatigue</t>
        </is>
      </c>
      <c r="AT135" t="n">
        <v>1</v>
      </c>
      <c r="AU135" t="n">
        <v>1</v>
      </c>
      <c r="AV135" t="n">
        <v>1</v>
      </c>
      <c r="AW135" t="n">
        <v>0</v>
      </c>
      <c r="AX135" t="n">
        <v>1</v>
      </c>
      <c r="AY135" t="n">
        <v>0</v>
      </c>
      <c r="AZ135" t="n">
        <v>1</v>
      </c>
      <c r="BA135" t="n">
        <v>0</v>
      </c>
      <c r="BB135" t="inlineStr">
        <is>
          <t xml:space="preserve"> Get the partner tested before marriage  </t>
        </is>
      </c>
      <c r="BC135" t="n">
        <v>1</v>
      </c>
      <c r="BD135" t="n">
        <v>0</v>
      </c>
      <c r="BE135" t="n">
        <v>0</v>
      </c>
      <c r="BF135" t="n">
        <v>0</v>
      </c>
      <c r="BG135" t="inlineStr">
        <is>
          <t>Only found out after screening</t>
        </is>
      </c>
      <c r="BH135" t="inlineStr">
        <is>
          <t>Definitely not</t>
        </is>
      </c>
      <c r="BI135" t="inlineStr">
        <is>
          <t xml:space="preserve">No </t>
        </is>
      </c>
      <c r="BJ135" t="inlineStr">
        <is>
          <t xml:space="preserve">Very important </t>
        </is>
      </c>
      <c r="BK135" t="inlineStr">
        <is>
          <t>Other</t>
        </is>
      </c>
      <c r="BM135" t="inlineStr">
        <is>
          <t>Other</t>
        </is>
      </c>
      <c r="BP135" t="inlineStr">
        <is>
          <t xml:space="preserve">Agree </t>
        </is>
      </c>
      <c r="BQ135" t="inlineStr">
        <is>
          <t xml:space="preserve">Yes </t>
        </is>
      </c>
      <c r="BS135" t="inlineStr">
        <is>
          <t>Some</t>
        </is>
      </c>
      <c r="CD135" t="inlineStr">
        <is>
          <t>Not sure</t>
        </is>
      </c>
      <c r="CE135" t="inlineStr">
        <is>
          <t xml:space="preserve">Important </t>
        </is>
      </c>
      <c r="CF135" t="n">
        <v>598905965</v>
      </c>
      <c r="CG135" t="inlineStr">
        <is>
          <t>63424080-0ed7-480f-8a05-6377a3fc09af</t>
        </is>
      </c>
      <c r="CH135" s="1" t="n">
        <v>45966.53928240741</v>
      </c>
      <c r="CK135" t="inlineStr">
        <is>
          <t>submitted_via_web</t>
        </is>
      </c>
      <c r="CM135" t="inlineStr">
        <is>
          <t>vteYUDpqfKnk39PHFZkvPS</t>
        </is>
      </c>
      <c r="CO135" t="inlineStr">
        <is>
          <t>uuid:63424080-0ed7-480f-8a05-6377a3fc09af</t>
        </is>
      </c>
      <c r="CP135" t="n">
        <v>134</v>
      </c>
      <c r="CQ135" t="n">
        <v>7</v>
      </c>
      <c r="CR135" t="n">
        <v>1.244729701052259</v>
      </c>
    </row>
    <row r="136">
      <c r="A136" s="1" t="n">
        <v>45967.80194987269</v>
      </c>
      <c r="B136" s="1" t="n">
        <v>45967.81985212963</v>
      </c>
      <c r="D136" t="inlineStr">
        <is>
          <t>29</t>
        </is>
      </c>
      <c r="E136" t="inlineStr">
        <is>
          <t>Female</t>
        </is>
      </c>
      <c r="F136" t="inlineStr">
        <is>
          <t>Sinhalese</t>
        </is>
      </c>
      <c r="H136" t="inlineStr">
        <is>
          <t>Buddhist</t>
        </is>
      </c>
      <c r="J136" t="inlineStr">
        <is>
          <t>Government sector</t>
        </is>
      </c>
      <c r="K136" t="inlineStr">
        <is>
          <t>51,000 – 100,000</t>
        </is>
      </c>
      <c r="L136" t="inlineStr">
        <is>
          <t xml:space="preserve">Graduate </t>
        </is>
      </c>
      <c r="M136" t="inlineStr">
        <is>
          <t xml:space="preserve">North Western </t>
        </is>
      </c>
      <c r="N136" t="inlineStr">
        <is>
          <t>Single</t>
        </is>
      </c>
      <c r="P136" t="inlineStr">
        <is>
          <t>No</t>
        </is>
      </c>
      <c r="S136" t="inlineStr">
        <is>
          <t xml:space="preserve">During school/university  </t>
        </is>
      </c>
      <c r="U136" t="inlineStr">
        <is>
          <t>Yes</t>
        </is>
      </c>
      <c r="V136" t="inlineStr">
        <is>
          <t>Thalassemia major (severe form)   Thalassemia minor or trait (carrier form)</t>
        </is>
      </c>
      <c r="W136" t="n">
        <v>1</v>
      </c>
      <c r="X136" t="n">
        <v>1</v>
      </c>
      <c r="Y136" t="n">
        <v>0</v>
      </c>
      <c r="Z136" t="n">
        <v>0</v>
      </c>
      <c r="AA136" t="inlineStr">
        <is>
          <t xml:space="preserve">Thalassemia major (severe form)  </t>
        </is>
      </c>
      <c r="AB136" t="n">
        <v>1</v>
      </c>
      <c r="AC136" t="n">
        <v>0</v>
      </c>
      <c r="AD136" t="n">
        <v>0</v>
      </c>
      <c r="AE136" t="n">
        <v>0</v>
      </c>
      <c r="AF136" t="inlineStr">
        <is>
          <t>Thalassemia minor or trait (carrier form)</t>
        </is>
      </c>
      <c r="AG136" t="n">
        <v>0</v>
      </c>
      <c r="AH136" t="n">
        <v>1</v>
      </c>
      <c r="AI136" t="n">
        <v>0</v>
      </c>
      <c r="AJ136" t="n">
        <v>0</v>
      </c>
      <c r="AK136" t="inlineStr">
        <is>
          <t>Yes</t>
        </is>
      </c>
      <c r="AL136" t="inlineStr">
        <is>
          <t xml:space="preserve">Cannot be cured   </t>
        </is>
      </c>
      <c r="AM136" t="inlineStr">
        <is>
          <t xml:space="preserve">Can be prevented </t>
        </is>
      </c>
      <c r="AN136" t="inlineStr">
        <is>
          <t xml:space="preserve">From generation to generation (hereditary)  </t>
        </is>
      </c>
      <c r="AO136" t="inlineStr">
        <is>
          <t>Healthy</t>
        </is>
      </c>
      <c r="AP136" t="inlineStr">
        <is>
          <t xml:space="preserve">Has a chance to be affected (e.g., 25%) </t>
        </is>
      </c>
      <c r="AQ136" t="inlineStr">
        <is>
          <t xml:space="preserve">Yes </t>
        </is>
      </c>
      <c r="AR136" t="inlineStr">
        <is>
          <t>Don’t know</t>
        </is>
      </c>
      <c r="AS136" t="inlineStr">
        <is>
          <t>Regular blood transfusions for life  Iron overload affecting heart and liver  Fatigue</t>
        </is>
      </c>
      <c r="AT136" t="n">
        <v>1</v>
      </c>
      <c r="AU136" t="n">
        <v>1</v>
      </c>
      <c r="AV136" t="n">
        <v>0</v>
      </c>
      <c r="AW136" t="n">
        <v>0</v>
      </c>
      <c r="AX136" t="n">
        <v>0</v>
      </c>
      <c r="AY136" t="n">
        <v>0</v>
      </c>
      <c r="AZ136" t="n">
        <v>1</v>
      </c>
      <c r="BA136" t="n">
        <v>0</v>
      </c>
      <c r="BB136" t="inlineStr">
        <is>
          <t xml:space="preserve"> Get the partner tested before marriage   Get family members tested </t>
        </is>
      </c>
      <c r="BC136" t="n">
        <v>1</v>
      </c>
      <c r="BD136" t="n">
        <v>1</v>
      </c>
      <c r="BE136" t="n">
        <v>0</v>
      </c>
      <c r="BF136" t="n">
        <v>0</v>
      </c>
      <c r="BG136" t="inlineStr">
        <is>
          <t xml:space="preserve">Healthcare staff (doctors and nurses) </t>
        </is>
      </c>
      <c r="BH136" t="inlineStr">
        <is>
          <t>Definitely not</t>
        </is>
      </c>
      <c r="BI136" t="inlineStr">
        <is>
          <t xml:space="preserve">No </t>
        </is>
      </c>
      <c r="BJ136" t="inlineStr">
        <is>
          <t xml:space="preserve">Very important </t>
        </is>
      </c>
      <c r="BP136" t="inlineStr">
        <is>
          <t xml:space="preserve">Agree </t>
        </is>
      </c>
      <c r="BQ136" t="inlineStr">
        <is>
          <t xml:space="preserve">Yes </t>
        </is>
      </c>
      <c r="BS136" t="inlineStr">
        <is>
          <t>All</t>
        </is>
      </c>
      <c r="BT136" t="inlineStr">
        <is>
          <t>All</t>
        </is>
      </c>
      <c r="BU136" t="inlineStr">
        <is>
          <t>All</t>
        </is>
      </c>
      <c r="CD136" t="inlineStr">
        <is>
          <t xml:space="preserve">Somewhat easy </t>
        </is>
      </c>
      <c r="CE136" t="inlineStr">
        <is>
          <t xml:space="preserve"> Very important</t>
        </is>
      </c>
      <c r="CF136" t="n">
        <v>599882195</v>
      </c>
      <c r="CG136" t="inlineStr">
        <is>
          <t>e1bbda2e-de51-41c8-8f56-37e0e968daa6</t>
        </is>
      </c>
      <c r="CH136" s="1" t="n">
        <v>45967.59070601852</v>
      </c>
      <c r="CK136" t="inlineStr">
        <is>
          <t>submitted_via_web</t>
        </is>
      </c>
      <c r="CM136" t="inlineStr">
        <is>
          <t>vteYUDpqfKnk39PHFZkvPS</t>
        </is>
      </c>
      <c r="CO136" t="inlineStr">
        <is>
          <t>uuid:e1bbda2e-de51-41c8-8f56-37e0e968daa6</t>
        </is>
      </c>
      <c r="CP136" t="n">
        <v>135</v>
      </c>
      <c r="CQ136" t="n">
        <v>5</v>
      </c>
      <c r="CR136" t="n">
        <v>0.4641035858837596</v>
      </c>
    </row>
    <row r="137">
      <c r="A137" s="1" t="n">
        <v>45967.82053226852</v>
      </c>
      <c r="B137" s="1" t="n">
        <v>45967.8246971875</v>
      </c>
      <c r="D137" t="inlineStr">
        <is>
          <t>27</t>
        </is>
      </c>
      <c r="E137" t="inlineStr">
        <is>
          <t>Female</t>
        </is>
      </c>
      <c r="F137" t="inlineStr">
        <is>
          <t>Sinhalese</t>
        </is>
      </c>
      <c r="H137" t="inlineStr">
        <is>
          <t>Buddhist</t>
        </is>
      </c>
      <c r="J137" t="inlineStr">
        <is>
          <t>Government sector</t>
        </is>
      </c>
      <c r="K137" t="inlineStr">
        <is>
          <t>51,000 – 100,000</t>
        </is>
      </c>
      <c r="L137" t="inlineStr">
        <is>
          <t xml:space="preserve">Undergraduate </t>
        </is>
      </c>
      <c r="M137" t="inlineStr">
        <is>
          <t>Western</t>
        </is>
      </c>
      <c r="N137" t="inlineStr">
        <is>
          <t>Single</t>
        </is>
      </c>
      <c r="P137" t="inlineStr">
        <is>
          <t xml:space="preserve"> I don’t know</t>
        </is>
      </c>
      <c r="R137" s="1" t="n">
        <v>45589</v>
      </c>
      <c r="S137" t="inlineStr">
        <is>
          <t>At workplace</t>
        </is>
      </c>
      <c r="U137" t="inlineStr">
        <is>
          <t>Yes</t>
        </is>
      </c>
      <c r="V137" t="inlineStr">
        <is>
          <t>Thalassemia major (severe form)   Thalassemia minor or trait (carrier form)</t>
        </is>
      </c>
      <c r="W137" t="n">
        <v>1</v>
      </c>
      <c r="X137" t="n">
        <v>1</v>
      </c>
      <c r="Y137" t="n">
        <v>0</v>
      </c>
      <c r="Z137" t="n">
        <v>0</v>
      </c>
      <c r="AA137" t="inlineStr">
        <is>
          <t xml:space="preserve">Thalassemia major (severe form)  </t>
        </is>
      </c>
      <c r="AB137" t="n">
        <v>1</v>
      </c>
      <c r="AC137" t="n">
        <v>0</v>
      </c>
      <c r="AD137" t="n">
        <v>0</v>
      </c>
      <c r="AE137" t="n">
        <v>0</v>
      </c>
      <c r="AF137" t="inlineStr">
        <is>
          <t>Thalassemia minor or trait (carrier form)</t>
        </is>
      </c>
      <c r="AG137" t="n">
        <v>0</v>
      </c>
      <c r="AH137" t="n">
        <v>1</v>
      </c>
      <c r="AI137" t="n">
        <v>0</v>
      </c>
      <c r="AJ137" t="n">
        <v>0</v>
      </c>
      <c r="AK137" t="inlineStr">
        <is>
          <t>Yes</t>
        </is>
      </c>
      <c r="AL137" t="inlineStr">
        <is>
          <t>Very difficult (e.g., bone marrow transplant)</t>
        </is>
      </c>
      <c r="AM137" t="inlineStr">
        <is>
          <t xml:space="preserve">Can be prevented </t>
        </is>
      </c>
      <c r="AN137" t="inlineStr">
        <is>
          <t xml:space="preserve">From generation to generation (hereditary)  </t>
        </is>
      </c>
      <c r="AO137" t="inlineStr">
        <is>
          <t xml:space="preserve">Not healthy  </t>
        </is>
      </c>
      <c r="AP137" t="inlineStr">
        <is>
          <t>Always affected by thalassemia</t>
        </is>
      </c>
      <c r="AQ137" t="inlineStr">
        <is>
          <t xml:space="preserve">Yes </t>
        </is>
      </c>
      <c r="AR137" t="inlineStr">
        <is>
          <t>Don’t know</t>
        </is>
      </c>
      <c r="AS137" t="inlineStr">
        <is>
          <t>Regular blood transfusions for life  Iron overload affecting heart and liver  Delayed growth and puberty Risk of diabetes, infertility, and hormonal issues  Risk of infections from transfusions Frequent nosebleeds Fatigue Bone deformities</t>
        </is>
      </c>
      <c r="AT137" t="n">
        <v>1</v>
      </c>
      <c r="AU137" t="n">
        <v>1</v>
      </c>
      <c r="AV137" t="n">
        <v>1</v>
      </c>
      <c r="AW137" t="n">
        <v>1</v>
      </c>
      <c r="AX137" t="n">
        <v>1</v>
      </c>
      <c r="AY137" t="n">
        <v>1</v>
      </c>
      <c r="AZ137" t="n">
        <v>1</v>
      </c>
      <c r="BA137" t="n">
        <v>1</v>
      </c>
      <c r="BB137" t="inlineStr">
        <is>
          <t xml:space="preserve"> Get the partner tested before marriage   Get family members tested </t>
        </is>
      </c>
      <c r="BC137" t="n">
        <v>1</v>
      </c>
      <c r="BD137" t="n">
        <v>1</v>
      </c>
      <c r="BE137" t="n">
        <v>0</v>
      </c>
      <c r="BF137" t="n">
        <v>0</v>
      </c>
      <c r="BG137" t="inlineStr">
        <is>
          <t xml:space="preserve">Healthcare staff (doctors and nurses) </t>
        </is>
      </c>
      <c r="BH137" t="inlineStr">
        <is>
          <t>Definitely not</t>
        </is>
      </c>
      <c r="BI137" t="inlineStr">
        <is>
          <t xml:space="preserve">No </t>
        </is>
      </c>
      <c r="BJ137" t="inlineStr">
        <is>
          <t xml:space="preserve">Very important </t>
        </is>
      </c>
      <c r="BK137" t="inlineStr">
        <is>
          <t>Partner was screened before marriage</t>
        </is>
      </c>
      <c r="BM137" t="inlineStr">
        <is>
          <t xml:space="preserve"> Lack of understanding about its importance </t>
        </is>
      </c>
      <c r="BP137" t="inlineStr">
        <is>
          <t xml:space="preserve">Agree </t>
        </is>
      </c>
      <c r="BQ137" t="inlineStr">
        <is>
          <t xml:space="preserve">Yes </t>
        </is>
      </c>
      <c r="BS137" t="inlineStr">
        <is>
          <t>Some</t>
        </is>
      </c>
      <c r="BT137" t="inlineStr">
        <is>
          <t>Don't know</t>
        </is>
      </c>
      <c r="BU137" t="inlineStr">
        <is>
          <t>Don't know</t>
        </is>
      </c>
      <c r="BV137" t="inlineStr">
        <is>
          <t>Other</t>
        </is>
      </c>
      <c r="BW137" t="n">
        <v>0</v>
      </c>
      <c r="BX137" t="n">
        <v>0</v>
      </c>
      <c r="BY137" t="n">
        <v>0</v>
      </c>
      <c r="BZ137" t="n">
        <v>0</v>
      </c>
      <c r="CA137" t="n">
        <v>0</v>
      </c>
      <c r="CB137" t="n">
        <v>1</v>
      </c>
      <c r="CD137" t="inlineStr">
        <is>
          <t>Not sure</t>
        </is>
      </c>
      <c r="CE137" t="inlineStr">
        <is>
          <t xml:space="preserve"> Very important</t>
        </is>
      </c>
      <c r="CF137" t="n">
        <v>599888189</v>
      </c>
      <c r="CG137" t="inlineStr">
        <is>
          <t>086e9752-6060-49b2-a8a1-9f9fd5925525</t>
        </is>
      </c>
      <c r="CH137" s="1" t="n">
        <v>45967.59554398148</v>
      </c>
      <c r="CK137" t="inlineStr">
        <is>
          <t>submitted_via_web</t>
        </is>
      </c>
      <c r="CM137" t="inlineStr">
        <is>
          <t>vteYUDpqfKnk39PHFZkvPS</t>
        </is>
      </c>
      <c r="CO137" t="inlineStr">
        <is>
          <t>uuid:086e9752-6060-49b2-a8a1-9f9fd5925525</t>
        </is>
      </c>
      <c r="CP137" t="n">
        <v>136</v>
      </c>
      <c r="CQ137" t="n">
        <v>10</v>
      </c>
      <c r="CR137" t="n">
        <v>2.415668873805008</v>
      </c>
    </row>
    <row r="138">
      <c r="A138" s="1" t="n">
        <v>45967.81985425926</v>
      </c>
      <c r="B138" s="1" t="n">
        <v>45967.83540456019</v>
      </c>
      <c r="D138" t="inlineStr">
        <is>
          <t>24</t>
        </is>
      </c>
      <c r="E138" t="inlineStr">
        <is>
          <t xml:space="preserve">Male </t>
        </is>
      </c>
      <c r="F138" t="inlineStr">
        <is>
          <t>Sinhalese</t>
        </is>
      </c>
      <c r="H138" t="inlineStr">
        <is>
          <t>Buddhist</t>
        </is>
      </c>
      <c r="J138" t="inlineStr">
        <is>
          <t>Not employed</t>
        </is>
      </c>
      <c r="L138" t="inlineStr">
        <is>
          <t xml:space="preserve">Undergraduate </t>
        </is>
      </c>
      <c r="M138" t="inlineStr">
        <is>
          <t xml:space="preserve">North Western </t>
        </is>
      </c>
      <c r="N138" t="inlineStr">
        <is>
          <t>Single</t>
        </is>
      </c>
      <c r="P138" t="inlineStr">
        <is>
          <t>No</t>
        </is>
      </c>
      <c r="R138" s="1" t="n">
        <v>45120</v>
      </c>
      <c r="S138" t="inlineStr">
        <is>
          <t xml:space="preserve">During school/university  </t>
        </is>
      </c>
      <c r="U138" t="inlineStr">
        <is>
          <t>Yes</t>
        </is>
      </c>
      <c r="V138" t="inlineStr">
        <is>
          <t>Thalassemia major (severe form)   Thalassemia minor or trait (carrier form)</t>
        </is>
      </c>
      <c r="W138" t="n">
        <v>1</v>
      </c>
      <c r="X138" t="n">
        <v>1</v>
      </c>
      <c r="Y138" t="n">
        <v>0</v>
      </c>
      <c r="Z138" t="n">
        <v>0</v>
      </c>
      <c r="AA138" t="inlineStr">
        <is>
          <t xml:space="preserve">Thalassemia major (severe form)  </t>
        </is>
      </c>
      <c r="AB138" t="n">
        <v>1</v>
      </c>
      <c r="AC138" t="n">
        <v>0</v>
      </c>
      <c r="AD138" t="n">
        <v>0</v>
      </c>
      <c r="AE138" t="n">
        <v>0</v>
      </c>
      <c r="AF138" t="inlineStr">
        <is>
          <t>Thalassemia minor or trait (carrier form)</t>
        </is>
      </c>
      <c r="AG138" t="n">
        <v>0</v>
      </c>
      <c r="AH138" t="n">
        <v>1</v>
      </c>
      <c r="AI138" t="n">
        <v>0</v>
      </c>
      <c r="AJ138" t="n">
        <v>0</v>
      </c>
      <c r="AK138" t="inlineStr">
        <is>
          <t>Yes</t>
        </is>
      </c>
      <c r="AL138" t="inlineStr">
        <is>
          <t xml:space="preserve">Cannot be cured   </t>
        </is>
      </c>
      <c r="AM138" t="inlineStr">
        <is>
          <t>Cannot be prevented</t>
        </is>
      </c>
      <c r="AN138" t="inlineStr">
        <is>
          <t xml:space="preserve">From generation to generation (hereditary)  </t>
        </is>
      </c>
      <c r="AO138" t="inlineStr">
        <is>
          <t>Healthy</t>
        </is>
      </c>
      <c r="AP138" t="inlineStr">
        <is>
          <t xml:space="preserve">Has a chance to be affected (e.g., 25%) </t>
        </is>
      </c>
      <c r="AQ138" t="inlineStr">
        <is>
          <t xml:space="preserve">Yes </t>
        </is>
      </c>
      <c r="AR138" t="inlineStr">
        <is>
          <t>Don’t know</t>
        </is>
      </c>
      <c r="AS138" t="inlineStr">
        <is>
          <t>Regular blood transfusions for life  Iron overload affecting heart and liver  Fatigue</t>
        </is>
      </c>
      <c r="AT138" t="n">
        <v>1</v>
      </c>
      <c r="AU138" t="n">
        <v>1</v>
      </c>
      <c r="AV138" t="n">
        <v>0</v>
      </c>
      <c r="AW138" t="n">
        <v>0</v>
      </c>
      <c r="AX138" t="n">
        <v>0</v>
      </c>
      <c r="AY138" t="n">
        <v>0</v>
      </c>
      <c r="AZ138" t="n">
        <v>1</v>
      </c>
      <c r="BA138" t="n">
        <v>0</v>
      </c>
      <c r="BB138" t="inlineStr">
        <is>
          <t xml:space="preserve"> Get the partner tested before marriage   Get family members tested </t>
        </is>
      </c>
      <c r="BC138" t="n">
        <v>1</v>
      </c>
      <c r="BD138" t="n">
        <v>1</v>
      </c>
      <c r="BE138" t="n">
        <v>0</v>
      </c>
      <c r="BF138" t="n">
        <v>0</v>
      </c>
      <c r="BG138" t="inlineStr">
        <is>
          <t xml:space="preserve">Healthcare staff (doctors and nurses) </t>
        </is>
      </c>
      <c r="BH138" t="inlineStr">
        <is>
          <t>Definitely not</t>
        </is>
      </c>
      <c r="BI138" t="inlineStr">
        <is>
          <t xml:space="preserve">No </t>
        </is>
      </c>
      <c r="BJ138" t="inlineStr">
        <is>
          <t xml:space="preserve">Important </t>
        </is>
      </c>
      <c r="BP138" t="inlineStr">
        <is>
          <t xml:space="preserve">Agree </t>
        </is>
      </c>
      <c r="BQ138" t="inlineStr">
        <is>
          <t xml:space="preserve">Yes </t>
        </is>
      </c>
      <c r="BS138" t="inlineStr">
        <is>
          <t>All</t>
        </is>
      </c>
      <c r="BT138" t="inlineStr">
        <is>
          <t>Some</t>
        </is>
      </c>
      <c r="BU138" t="inlineStr">
        <is>
          <t>Some</t>
        </is>
      </c>
      <c r="CD138" t="inlineStr">
        <is>
          <t xml:space="preserve">Difficult </t>
        </is>
      </c>
      <c r="CE138" t="inlineStr">
        <is>
          <t xml:space="preserve"> Very important</t>
        </is>
      </c>
      <c r="CF138" t="n">
        <v>599901197</v>
      </c>
      <c r="CG138" t="inlineStr">
        <is>
          <t>9cec9277-4f05-400d-a86d-849bfe1bb751</t>
        </is>
      </c>
      <c r="CH138" s="1" t="n">
        <v>45967.60626157407</v>
      </c>
      <c r="CK138" t="inlineStr">
        <is>
          <t>submitted_via_web</t>
        </is>
      </c>
      <c r="CM138" t="inlineStr">
        <is>
          <t>vteYUDpqfKnk39PHFZkvPS</t>
        </is>
      </c>
      <c r="CO138" t="inlineStr">
        <is>
          <t>uuid:9cec9277-4f05-400d-a86d-849bfe1bb751</t>
        </is>
      </c>
      <c r="CP138" t="n">
        <v>137</v>
      </c>
      <c r="CQ138" t="n">
        <v>5</v>
      </c>
      <c r="CR138" t="n">
        <v>0.4641035858837596</v>
      </c>
    </row>
    <row r="139">
      <c r="A139" s="1" t="n">
        <v>45967.83540585648</v>
      </c>
      <c r="B139" s="1" t="n">
        <v>45967.84222513889</v>
      </c>
      <c r="D139" t="inlineStr">
        <is>
          <t>28</t>
        </is>
      </c>
      <c r="E139" t="inlineStr">
        <is>
          <t>Female</t>
        </is>
      </c>
      <c r="F139" t="inlineStr">
        <is>
          <t>Sinhalese</t>
        </is>
      </c>
      <c r="H139" t="inlineStr">
        <is>
          <t>Buddhist</t>
        </is>
      </c>
      <c r="J139" t="inlineStr">
        <is>
          <t>Private sector</t>
        </is>
      </c>
      <c r="K139" t="inlineStr">
        <is>
          <t>25,000 – 50,000</t>
        </is>
      </c>
      <c r="L139" t="inlineStr">
        <is>
          <t xml:space="preserve">Up to A/L </t>
        </is>
      </c>
      <c r="M139" t="inlineStr">
        <is>
          <t>Western</t>
        </is>
      </c>
      <c r="N139" t="inlineStr">
        <is>
          <t>Single</t>
        </is>
      </c>
      <c r="P139" t="inlineStr">
        <is>
          <t>No</t>
        </is>
      </c>
      <c r="R139" s="1" t="n">
        <v>44966</v>
      </c>
      <c r="S139" t="inlineStr">
        <is>
          <t>During community screening</t>
        </is>
      </c>
      <c r="U139" t="inlineStr">
        <is>
          <t>Yes</t>
        </is>
      </c>
      <c r="V139" t="inlineStr">
        <is>
          <t>I don’t know</t>
        </is>
      </c>
      <c r="W139" t="n">
        <v>0</v>
      </c>
      <c r="X139" t="n">
        <v>0</v>
      </c>
      <c r="Y139" t="n">
        <v>0</v>
      </c>
      <c r="Z139" t="n">
        <v>1</v>
      </c>
      <c r="AA139" t="inlineStr">
        <is>
          <t>I don’t know</t>
        </is>
      </c>
      <c r="AB139" t="n">
        <v>0</v>
      </c>
      <c r="AC139" t="n">
        <v>0</v>
      </c>
      <c r="AD139" t="n">
        <v>0</v>
      </c>
      <c r="AE139" t="n">
        <v>1</v>
      </c>
      <c r="AF139" t="inlineStr">
        <is>
          <t>Thalassemia minor or trait (carrier form)</t>
        </is>
      </c>
      <c r="AG139" t="n">
        <v>0</v>
      </c>
      <c r="AH139" t="n">
        <v>1</v>
      </c>
      <c r="AI139" t="n">
        <v>0</v>
      </c>
      <c r="AJ139" t="n">
        <v>0</v>
      </c>
      <c r="AK139" t="inlineStr">
        <is>
          <t>Yes</t>
        </is>
      </c>
      <c r="AL139" t="inlineStr">
        <is>
          <t xml:space="preserve">Cannot be cured   </t>
        </is>
      </c>
      <c r="AM139" t="inlineStr">
        <is>
          <t xml:space="preserve">Can be prevented </t>
        </is>
      </c>
      <c r="AN139" t="inlineStr">
        <is>
          <t xml:space="preserve">From generation to generation (hereditary)  </t>
        </is>
      </c>
      <c r="AO139" t="inlineStr">
        <is>
          <t>Healthy</t>
        </is>
      </c>
      <c r="AP139" t="inlineStr">
        <is>
          <t>Always affected by thalassemia</t>
        </is>
      </c>
      <c r="AQ139" t="inlineStr">
        <is>
          <t xml:space="preserve">Yes </t>
        </is>
      </c>
      <c r="AR139" t="inlineStr">
        <is>
          <t>Don’t know</t>
        </is>
      </c>
      <c r="AS139" t="inlineStr">
        <is>
          <t xml:space="preserve">Regular blood transfusions for life </t>
        </is>
      </c>
      <c r="AT139" t="n">
        <v>1</v>
      </c>
      <c r="AU139" t="n">
        <v>0</v>
      </c>
      <c r="AV139" t="n">
        <v>0</v>
      </c>
      <c r="AW139" t="n">
        <v>0</v>
      </c>
      <c r="AX139" t="n">
        <v>0</v>
      </c>
      <c r="AY139" t="n">
        <v>0</v>
      </c>
      <c r="AZ139" t="n">
        <v>0</v>
      </c>
      <c r="BA139" t="n">
        <v>0</v>
      </c>
      <c r="BB139" t="inlineStr">
        <is>
          <t xml:space="preserve"> Get the partner tested before marriage  </t>
        </is>
      </c>
      <c r="BC139" t="n">
        <v>1</v>
      </c>
      <c r="BD139" t="n">
        <v>0</v>
      </c>
      <c r="BE139" t="n">
        <v>0</v>
      </c>
      <c r="BF139" t="n">
        <v>0</v>
      </c>
      <c r="BG139" t="inlineStr">
        <is>
          <t>Only found out after screening</t>
        </is>
      </c>
      <c r="BH139" t="inlineStr">
        <is>
          <t xml:space="preserve">Not sure </t>
        </is>
      </c>
      <c r="BI139" t="inlineStr">
        <is>
          <t>Not sure</t>
        </is>
      </c>
      <c r="BJ139" t="inlineStr">
        <is>
          <t xml:space="preserve">Important </t>
        </is>
      </c>
      <c r="BP139" t="inlineStr">
        <is>
          <t xml:space="preserve">Agree </t>
        </is>
      </c>
      <c r="BQ139" t="inlineStr">
        <is>
          <t xml:space="preserve">Yes </t>
        </is>
      </c>
      <c r="BS139" t="inlineStr">
        <is>
          <t>Some</t>
        </is>
      </c>
      <c r="BT139" t="inlineStr">
        <is>
          <t>None</t>
        </is>
      </c>
      <c r="BU139" t="inlineStr">
        <is>
          <t>None</t>
        </is>
      </c>
      <c r="CE139" t="inlineStr">
        <is>
          <t xml:space="preserve">Important </t>
        </is>
      </c>
      <c r="CF139" t="n">
        <v>599909323</v>
      </c>
      <c r="CG139" t="inlineStr">
        <is>
          <t>a9676b95-4705-40af-b6b3-ca84f6a5c10f</t>
        </is>
      </c>
      <c r="CH139" s="1" t="n">
        <v>45967.6130787037</v>
      </c>
      <c r="CK139" t="inlineStr">
        <is>
          <t>submitted_via_web</t>
        </is>
      </c>
      <c r="CM139" t="inlineStr">
        <is>
          <t>vteYUDpqfKnk39PHFZkvPS</t>
        </is>
      </c>
      <c r="CO139" t="inlineStr">
        <is>
          <t>uuid:a9676b95-4705-40af-b6b3-ca84f6a5c10f</t>
        </is>
      </c>
      <c r="CP139" t="n">
        <v>138</v>
      </c>
      <c r="CQ139" t="n">
        <v>1</v>
      </c>
      <c r="CR139" t="n">
        <v>-1.097148644453239</v>
      </c>
    </row>
    <row r="140">
      <c r="A140" s="1" t="n">
        <v>45967.9338</v>
      </c>
      <c r="B140" s="1" t="n">
        <v>45967.93535866898</v>
      </c>
      <c r="D140" t="inlineStr">
        <is>
          <t>32</t>
        </is>
      </c>
      <c r="E140" t="inlineStr">
        <is>
          <t xml:space="preserve">Male </t>
        </is>
      </c>
      <c r="F140" t="inlineStr">
        <is>
          <t>Sinhalese</t>
        </is>
      </c>
      <c r="H140" t="inlineStr">
        <is>
          <t>Buddhist</t>
        </is>
      </c>
      <c r="J140" t="inlineStr">
        <is>
          <t>Private sector</t>
        </is>
      </c>
      <c r="K140" t="inlineStr">
        <is>
          <t>25,000 – 50,000</t>
        </is>
      </c>
      <c r="L140" t="inlineStr">
        <is>
          <t xml:space="preserve">Up to A/L </t>
        </is>
      </c>
      <c r="M140" t="inlineStr">
        <is>
          <t>Western</t>
        </is>
      </c>
      <c r="N140" t="inlineStr">
        <is>
          <t xml:space="preserve">Married </t>
        </is>
      </c>
      <c r="O140" t="inlineStr">
        <is>
          <t xml:space="preserve">Yes, more than one child </t>
        </is>
      </c>
      <c r="P140" t="inlineStr">
        <is>
          <t>No</t>
        </is>
      </c>
      <c r="S140" t="inlineStr">
        <is>
          <t>At workplace</t>
        </is>
      </c>
      <c r="U140" t="inlineStr">
        <is>
          <t>Yes</t>
        </is>
      </c>
      <c r="V140" t="inlineStr">
        <is>
          <t>Thalassemia major (severe form)   Thalassemia minor or trait (carrier form)</t>
        </is>
      </c>
      <c r="W140" t="n">
        <v>1</v>
      </c>
      <c r="X140" t="n">
        <v>1</v>
      </c>
      <c r="Y140" t="n">
        <v>0</v>
      </c>
      <c r="Z140" t="n">
        <v>0</v>
      </c>
      <c r="AA140" t="inlineStr">
        <is>
          <t xml:space="preserve">Thalassemia major (severe form)  </t>
        </is>
      </c>
      <c r="AB140" t="n">
        <v>1</v>
      </c>
      <c r="AC140" t="n">
        <v>0</v>
      </c>
      <c r="AD140" t="n">
        <v>0</v>
      </c>
      <c r="AE140" t="n">
        <v>0</v>
      </c>
      <c r="AF140" t="inlineStr">
        <is>
          <t>Thalassemia minor or trait (carrier form)</t>
        </is>
      </c>
      <c r="AG140" t="n">
        <v>0</v>
      </c>
      <c r="AH140" t="n">
        <v>1</v>
      </c>
      <c r="AI140" t="n">
        <v>0</v>
      </c>
      <c r="AJ140" t="n">
        <v>0</v>
      </c>
      <c r="AK140" t="inlineStr">
        <is>
          <t>Don’t know</t>
        </is>
      </c>
      <c r="AL140" t="inlineStr">
        <is>
          <t xml:space="preserve">Cannot be cured   </t>
        </is>
      </c>
      <c r="AM140" t="inlineStr">
        <is>
          <t xml:space="preserve">Can be prevented </t>
        </is>
      </c>
      <c r="AN140" t="inlineStr">
        <is>
          <t xml:space="preserve">From generation to generation (hereditary)  </t>
        </is>
      </c>
      <c r="AO140" t="inlineStr">
        <is>
          <t>Healthy</t>
        </is>
      </c>
      <c r="AP140" t="inlineStr">
        <is>
          <t xml:space="preserve">Has a chance to be affected (e.g., 25%) </t>
        </is>
      </c>
      <c r="AQ140" t="inlineStr">
        <is>
          <t xml:space="preserve">Yes </t>
        </is>
      </c>
      <c r="AR140" t="inlineStr">
        <is>
          <t>Don’t know</t>
        </is>
      </c>
      <c r="AS140" t="inlineStr">
        <is>
          <t xml:space="preserve">Regular blood transfusions for life </t>
        </is>
      </c>
      <c r="AT140" t="n">
        <v>1</v>
      </c>
      <c r="AU140" t="n">
        <v>0</v>
      </c>
      <c r="AV140" t="n">
        <v>0</v>
      </c>
      <c r="AW140" t="n">
        <v>0</v>
      </c>
      <c r="AX140" t="n">
        <v>0</v>
      </c>
      <c r="AY140" t="n">
        <v>0</v>
      </c>
      <c r="AZ140" t="n">
        <v>0</v>
      </c>
      <c r="BA140" t="n">
        <v>0</v>
      </c>
      <c r="BB140" t="inlineStr">
        <is>
          <t xml:space="preserve"> Get the partner tested before marriage   Get family members tested </t>
        </is>
      </c>
      <c r="BC140" t="n">
        <v>1</v>
      </c>
      <c r="BD140" t="n">
        <v>1</v>
      </c>
      <c r="BE140" t="n">
        <v>0</v>
      </c>
      <c r="BF140" t="n">
        <v>0</v>
      </c>
      <c r="BG140" t="inlineStr">
        <is>
          <t>Only found out after screening</t>
        </is>
      </c>
      <c r="BH140" t="inlineStr">
        <is>
          <t>Definitely not</t>
        </is>
      </c>
      <c r="BI140" t="inlineStr">
        <is>
          <t xml:space="preserve">No </t>
        </is>
      </c>
      <c r="BJ140" t="inlineStr">
        <is>
          <t xml:space="preserve">Very important </t>
        </is>
      </c>
      <c r="BK140" t="inlineStr">
        <is>
          <t xml:space="preserve"> Partner was screened after marriage </t>
        </is>
      </c>
      <c r="BP140" t="inlineStr">
        <is>
          <t xml:space="preserve">Agree </t>
        </is>
      </c>
      <c r="BQ140" t="inlineStr">
        <is>
          <t xml:space="preserve">Yes </t>
        </is>
      </c>
      <c r="BS140" t="inlineStr">
        <is>
          <t>Some</t>
        </is>
      </c>
      <c r="BT140" t="inlineStr">
        <is>
          <t>None</t>
        </is>
      </c>
      <c r="BU140" t="inlineStr">
        <is>
          <t>None</t>
        </is>
      </c>
      <c r="BV140" t="inlineStr">
        <is>
          <t>Lack of knowledge  Concern about stigma or discrimination Perception that screening was unnecessary</t>
        </is>
      </c>
      <c r="BW140" t="n">
        <v>1</v>
      </c>
      <c r="BX140" t="n">
        <v>1</v>
      </c>
      <c r="BY140" t="n">
        <v>0</v>
      </c>
      <c r="BZ140" t="n">
        <v>1</v>
      </c>
      <c r="CA140" t="n">
        <v>0</v>
      </c>
      <c r="CB140" t="n">
        <v>0</v>
      </c>
      <c r="CD140" t="inlineStr">
        <is>
          <t xml:space="preserve">Somewhat easy </t>
        </is>
      </c>
      <c r="CE140" t="inlineStr">
        <is>
          <t xml:space="preserve"> Very important</t>
        </is>
      </c>
      <c r="CF140" t="n">
        <v>600009521</v>
      </c>
      <c r="CG140" t="inlineStr">
        <is>
          <t>7235305e-a846-494f-a0b4-a81066999a0d</t>
        </is>
      </c>
      <c r="CH140" s="1" t="n">
        <v>45967.7062037037</v>
      </c>
      <c r="CK140" t="inlineStr">
        <is>
          <t>submitted_via_web</t>
        </is>
      </c>
      <c r="CM140" t="inlineStr">
        <is>
          <t>vteYUDpqfKnk39PHFZkvPS</t>
        </is>
      </c>
      <c r="CO140" t="inlineStr">
        <is>
          <t>uuid:7235305e-a846-494f-a0b4-a81066999a0d</t>
        </is>
      </c>
      <c r="CP140" t="n">
        <v>139</v>
      </c>
      <c r="CQ140" t="n">
        <v>3</v>
      </c>
      <c r="CR140" t="n">
        <v>-0.3165225292847399</v>
      </c>
    </row>
    <row r="141">
      <c r="A141" s="1" t="n">
        <v>45967.93535988426</v>
      </c>
      <c r="B141" s="1" t="n">
        <v>45967.93692803241</v>
      </c>
      <c r="D141" t="inlineStr">
        <is>
          <t>33</t>
        </is>
      </c>
      <c r="E141" t="inlineStr">
        <is>
          <t xml:space="preserve">Male </t>
        </is>
      </c>
      <c r="F141" t="inlineStr">
        <is>
          <t>Sinhalese</t>
        </is>
      </c>
      <c r="H141" t="inlineStr">
        <is>
          <t>Roman Catholic</t>
        </is>
      </c>
      <c r="J141" t="inlineStr">
        <is>
          <t>Private sector</t>
        </is>
      </c>
      <c r="K141" t="inlineStr">
        <is>
          <t>25,000 – 50,000</t>
        </is>
      </c>
      <c r="L141" t="inlineStr">
        <is>
          <t xml:space="preserve">Up to O/L </t>
        </is>
      </c>
      <c r="M141" t="inlineStr">
        <is>
          <t>Western</t>
        </is>
      </c>
      <c r="N141" t="inlineStr">
        <is>
          <t xml:space="preserve">Married </t>
        </is>
      </c>
      <c r="O141" t="inlineStr">
        <is>
          <t xml:space="preserve">Yes, only one child </t>
        </is>
      </c>
      <c r="P141" t="inlineStr">
        <is>
          <t>No</t>
        </is>
      </c>
      <c r="S141" t="inlineStr">
        <is>
          <t>At workplace</t>
        </is>
      </c>
      <c r="U141" t="inlineStr">
        <is>
          <t>Yes</t>
        </is>
      </c>
      <c r="V141" t="inlineStr">
        <is>
          <t>Thalassemia major (severe form)   Thalassemia minor or trait (carrier form)</t>
        </is>
      </c>
      <c r="W141" t="n">
        <v>1</v>
      </c>
      <c r="X141" t="n">
        <v>1</v>
      </c>
      <c r="Y141" t="n">
        <v>0</v>
      </c>
      <c r="Z141" t="n">
        <v>0</v>
      </c>
      <c r="AA141" t="inlineStr">
        <is>
          <t xml:space="preserve">Thalassemia major (severe form)  </t>
        </is>
      </c>
      <c r="AB141" t="n">
        <v>1</v>
      </c>
      <c r="AC141" t="n">
        <v>0</v>
      </c>
      <c r="AD141" t="n">
        <v>0</v>
      </c>
      <c r="AE141" t="n">
        <v>0</v>
      </c>
      <c r="AF141" t="inlineStr">
        <is>
          <t>Thalassemia minor or trait (carrier form)</t>
        </is>
      </c>
      <c r="AG141" t="n">
        <v>0</v>
      </c>
      <c r="AH141" t="n">
        <v>1</v>
      </c>
      <c r="AI141" t="n">
        <v>0</v>
      </c>
      <c r="AJ141" t="n">
        <v>0</v>
      </c>
      <c r="AK141" t="inlineStr">
        <is>
          <t>Yes</t>
        </is>
      </c>
      <c r="AL141" t="inlineStr">
        <is>
          <t>Don’t know</t>
        </is>
      </c>
      <c r="AM141" t="inlineStr">
        <is>
          <t xml:space="preserve">Can be prevented </t>
        </is>
      </c>
      <c r="AN141" t="inlineStr">
        <is>
          <t xml:space="preserve">From generation to generation (hereditary)  </t>
        </is>
      </c>
      <c r="AO141" t="inlineStr">
        <is>
          <t>Healthy</t>
        </is>
      </c>
      <c r="AP141" t="inlineStr">
        <is>
          <t xml:space="preserve">Has a chance to be affected (e.g., 25%) </t>
        </is>
      </c>
      <c r="AQ141" t="inlineStr">
        <is>
          <t xml:space="preserve">Yes </t>
        </is>
      </c>
      <c r="AR141" t="inlineStr">
        <is>
          <t>Don’t know</t>
        </is>
      </c>
      <c r="AS141" t="inlineStr">
        <is>
          <t xml:space="preserve">Regular blood transfusions for life </t>
        </is>
      </c>
      <c r="AT141" t="n">
        <v>1</v>
      </c>
      <c r="AU141" t="n">
        <v>0</v>
      </c>
      <c r="AV141" t="n">
        <v>0</v>
      </c>
      <c r="AW141" t="n">
        <v>0</v>
      </c>
      <c r="AX141" t="n">
        <v>0</v>
      </c>
      <c r="AY141" t="n">
        <v>0</v>
      </c>
      <c r="AZ141" t="n">
        <v>0</v>
      </c>
      <c r="BA141" t="n">
        <v>0</v>
      </c>
      <c r="BB141" t="inlineStr">
        <is>
          <t xml:space="preserve"> Get the partner tested before marriage   Get family members tested </t>
        </is>
      </c>
      <c r="BC141" t="n">
        <v>1</v>
      </c>
      <c r="BD141" t="n">
        <v>1</v>
      </c>
      <c r="BE141" t="n">
        <v>0</v>
      </c>
      <c r="BF141" t="n">
        <v>0</v>
      </c>
      <c r="BG141" t="inlineStr">
        <is>
          <t>Only found out after screening</t>
        </is>
      </c>
      <c r="BH141" t="inlineStr">
        <is>
          <t>Definitely not</t>
        </is>
      </c>
      <c r="BI141" t="inlineStr">
        <is>
          <t xml:space="preserve">No </t>
        </is>
      </c>
      <c r="BJ141" t="inlineStr">
        <is>
          <t xml:space="preserve">Very important </t>
        </is>
      </c>
      <c r="BK141" t="inlineStr">
        <is>
          <t xml:space="preserve"> Partner was screened after marriage </t>
        </is>
      </c>
      <c r="BP141" t="inlineStr">
        <is>
          <t xml:space="preserve">Agree </t>
        </is>
      </c>
      <c r="BQ141" t="inlineStr">
        <is>
          <t xml:space="preserve">Yes </t>
        </is>
      </c>
      <c r="BS141" t="inlineStr">
        <is>
          <t>Some</t>
        </is>
      </c>
      <c r="BT141" t="inlineStr">
        <is>
          <t>None</t>
        </is>
      </c>
      <c r="BU141" t="inlineStr">
        <is>
          <t>None</t>
        </is>
      </c>
      <c r="BV141" t="inlineStr">
        <is>
          <t>Lack of knowledge  Perception that screening was unnecessary</t>
        </is>
      </c>
      <c r="BW141" t="n">
        <v>1</v>
      </c>
      <c r="BX141" t="n">
        <v>0</v>
      </c>
      <c r="BY141" t="n">
        <v>0</v>
      </c>
      <c r="BZ141" t="n">
        <v>1</v>
      </c>
      <c r="CA141" t="n">
        <v>0</v>
      </c>
      <c r="CB141" t="n">
        <v>0</v>
      </c>
      <c r="CD141" t="inlineStr">
        <is>
          <t xml:space="preserve">Somewhat easy </t>
        </is>
      </c>
      <c r="CE141" t="inlineStr">
        <is>
          <t xml:space="preserve"> Very important</t>
        </is>
      </c>
      <c r="CF141" t="n">
        <v>600010805</v>
      </c>
      <c r="CG141" t="inlineStr">
        <is>
          <t>c502c118-7c15-4baf-b65d-633031efd312</t>
        </is>
      </c>
      <c r="CH141" s="1" t="n">
        <v>45967.70789351852</v>
      </c>
      <c r="CK141" t="inlineStr">
        <is>
          <t>submitted_via_web</t>
        </is>
      </c>
      <c r="CM141" t="inlineStr">
        <is>
          <t>vteYUDpqfKnk39PHFZkvPS</t>
        </is>
      </c>
      <c r="CO141" t="inlineStr">
        <is>
          <t>uuid:c502c118-7c15-4baf-b65d-633031efd312</t>
        </is>
      </c>
      <c r="CP141" t="n">
        <v>140</v>
      </c>
      <c r="CQ141" t="n">
        <v>3</v>
      </c>
      <c r="CR141" t="n">
        <v>-0.3165225292847399</v>
      </c>
    </row>
    <row r="142">
      <c r="A142" s="1" t="n">
        <v>45967.93692908565</v>
      </c>
      <c r="B142" s="1" t="n">
        <v>45967.939260625</v>
      </c>
      <c r="D142" t="inlineStr">
        <is>
          <t>23</t>
        </is>
      </c>
      <c r="E142" t="inlineStr">
        <is>
          <t>Female</t>
        </is>
      </c>
      <c r="F142" t="inlineStr">
        <is>
          <t>Sinhalese</t>
        </is>
      </c>
      <c r="H142" t="inlineStr">
        <is>
          <t>Buddhist</t>
        </is>
      </c>
      <c r="J142" t="inlineStr">
        <is>
          <t>Not employed</t>
        </is>
      </c>
      <c r="L142" t="inlineStr">
        <is>
          <t xml:space="preserve">Undergraduate </t>
        </is>
      </c>
      <c r="M142" t="inlineStr">
        <is>
          <t>Western</t>
        </is>
      </c>
      <c r="N142" t="inlineStr">
        <is>
          <t>Single</t>
        </is>
      </c>
      <c r="P142" t="inlineStr">
        <is>
          <t>No</t>
        </is>
      </c>
      <c r="S142" t="inlineStr">
        <is>
          <t xml:space="preserve">During school/university  </t>
        </is>
      </c>
      <c r="U142" t="inlineStr">
        <is>
          <t>Yes</t>
        </is>
      </c>
      <c r="V142" t="inlineStr">
        <is>
          <t>Thalassemia major (severe form)   Thalassemia minor or trait (carrier form)</t>
        </is>
      </c>
      <c r="W142" t="n">
        <v>1</v>
      </c>
      <c r="X142" t="n">
        <v>1</v>
      </c>
      <c r="Y142" t="n">
        <v>0</v>
      </c>
      <c r="Z142" t="n">
        <v>0</v>
      </c>
      <c r="AA142" t="inlineStr">
        <is>
          <t xml:space="preserve">Thalassemia major (severe form)  </t>
        </is>
      </c>
      <c r="AB142" t="n">
        <v>1</v>
      </c>
      <c r="AC142" t="n">
        <v>0</v>
      </c>
      <c r="AD142" t="n">
        <v>0</v>
      </c>
      <c r="AE142" t="n">
        <v>0</v>
      </c>
      <c r="AF142" t="inlineStr">
        <is>
          <t>Thalassemia minor or trait (carrier form)</t>
        </is>
      </c>
      <c r="AG142" t="n">
        <v>0</v>
      </c>
      <c r="AH142" t="n">
        <v>1</v>
      </c>
      <c r="AI142" t="n">
        <v>0</v>
      </c>
      <c r="AJ142" t="n">
        <v>0</v>
      </c>
      <c r="AK142" t="inlineStr">
        <is>
          <t>Yes</t>
        </is>
      </c>
      <c r="AL142" t="inlineStr">
        <is>
          <t>Don’t know</t>
        </is>
      </c>
      <c r="AM142" t="inlineStr">
        <is>
          <t xml:space="preserve">Can be prevented </t>
        </is>
      </c>
      <c r="AN142" t="inlineStr">
        <is>
          <t xml:space="preserve">From generation to generation (hereditary)  </t>
        </is>
      </c>
      <c r="AO142" t="inlineStr">
        <is>
          <t>Healthy</t>
        </is>
      </c>
      <c r="AP142" t="inlineStr">
        <is>
          <t xml:space="preserve">Has a chance to be affected (e.g., 25%) </t>
        </is>
      </c>
      <c r="AQ142" t="inlineStr">
        <is>
          <t xml:space="preserve">Yes </t>
        </is>
      </c>
      <c r="AR142" t="inlineStr">
        <is>
          <t>Don’t know</t>
        </is>
      </c>
      <c r="AS142" t="inlineStr">
        <is>
          <t xml:space="preserve">Regular blood transfusions for life </t>
        </is>
      </c>
      <c r="AT142" t="n">
        <v>1</v>
      </c>
      <c r="AU142" t="n">
        <v>0</v>
      </c>
      <c r="AV142" t="n">
        <v>0</v>
      </c>
      <c r="AW142" t="n">
        <v>0</v>
      </c>
      <c r="AX142" t="n">
        <v>0</v>
      </c>
      <c r="AY142" t="n">
        <v>0</v>
      </c>
      <c r="AZ142" t="n">
        <v>0</v>
      </c>
      <c r="BA142" t="n">
        <v>0</v>
      </c>
      <c r="BB142" t="inlineStr">
        <is>
          <t xml:space="preserve"> Get the partner tested before marriage   Get family members tested </t>
        </is>
      </c>
      <c r="BC142" t="n">
        <v>1</v>
      </c>
      <c r="BD142" t="n">
        <v>1</v>
      </c>
      <c r="BE142" t="n">
        <v>0</v>
      </c>
      <c r="BF142" t="n">
        <v>0</v>
      </c>
      <c r="BG142" t="inlineStr">
        <is>
          <t xml:space="preserve">School  </t>
        </is>
      </c>
      <c r="BH142" t="inlineStr">
        <is>
          <t>Definitely not</t>
        </is>
      </c>
      <c r="BI142" t="inlineStr">
        <is>
          <t xml:space="preserve">No </t>
        </is>
      </c>
      <c r="BJ142" t="inlineStr">
        <is>
          <t xml:space="preserve">Very important </t>
        </is>
      </c>
      <c r="BK142" t="inlineStr">
        <is>
          <t>Other</t>
        </is>
      </c>
      <c r="BL142" t="inlineStr">
        <is>
          <t>Still not married. Will be screen before marriage</t>
        </is>
      </c>
      <c r="BM142" t="inlineStr">
        <is>
          <t>Other</t>
        </is>
      </c>
      <c r="BN142" t="inlineStr">
        <is>
          <t>Still not married. Will be screen before marriage</t>
        </is>
      </c>
      <c r="BP142" t="inlineStr">
        <is>
          <t xml:space="preserve">Agree </t>
        </is>
      </c>
      <c r="BQ142" t="inlineStr">
        <is>
          <t xml:space="preserve">Yes </t>
        </is>
      </c>
      <c r="BS142" t="inlineStr">
        <is>
          <t>Some</t>
        </is>
      </c>
      <c r="BT142" t="inlineStr">
        <is>
          <t>None</t>
        </is>
      </c>
      <c r="BU142" t="inlineStr">
        <is>
          <t>None</t>
        </is>
      </c>
      <c r="BV142" t="inlineStr">
        <is>
          <t>Lack of knowledge  Perception that screening was unnecessary</t>
        </is>
      </c>
      <c r="BW142" t="n">
        <v>1</v>
      </c>
      <c r="BX142" t="n">
        <v>0</v>
      </c>
      <c r="BY142" t="n">
        <v>0</v>
      </c>
      <c r="BZ142" t="n">
        <v>1</v>
      </c>
      <c r="CA142" t="n">
        <v>0</v>
      </c>
      <c r="CB142" t="n">
        <v>0</v>
      </c>
      <c r="CD142" t="inlineStr">
        <is>
          <t xml:space="preserve">Somewhat easy </t>
        </is>
      </c>
      <c r="CE142" t="inlineStr">
        <is>
          <t xml:space="preserve"> Very important</t>
        </is>
      </c>
      <c r="CF142" t="n">
        <v>600012850</v>
      </c>
      <c r="CG142" t="inlineStr">
        <is>
          <t>1067b6c2-6704-4b7f-a131-c0ffb1c459ea</t>
        </is>
      </c>
      <c r="CH142" s="1" t="n">
        <v>45967.71021990741</v>
      </c>
      <c r="CK142" t="inlineStr">
        <is>
          <t>submitted_via_web</t>
        </is>
      </c>
      <c r="CM142" t="inlineStr">
        <is>
          <t>vteYUDpqfKnk39PHFZkvPS</t>
        </is>
      </c>
      <c r="CO142" t="inlineStr">
        <is>
          <t>uuid:1067b6c2-6704-4b7f-a131-c0ffb1c459ea</t>
        </is>
      </c>
      <c r="CP142" t="n">
        <v>141</v>
      </c>
      <c r="CQ142" t="n">
        <v>3</v>
      </c>
      <c r="CR142" t="n">
        <v>-0.3165225292847399</v>
      </c>
    </row>
    <row r="143">
      <c r="A143" s="1" t="n">
        <v>45967.93926171296</v>
      </c>
      <c r="B143" s="1" t="n">
        <v>45967.94099079861</v>
      </c>
      <c r="D143" t="inlineStr">
        <is>
          <t>23</t>
        </is>
      </c>
      <c r="E143" t="inlineStr">
        <is>
          <t xml:space="preserve">Male </t>
        </is>
      </c>
      <c r="F143" t="inlineStr">
        <is>
          <t>Sinhalese</t>
        </is>
      </c>
      <c r="H143" t="inlineStr">
        <is>
          <t>Christian</t>
        </is>
      </c>
      <c r="J143" t="inlineStr">
        <is>
          <t>Self-employed</t>
        </is>
      </c>
      <c r="K143" t="inlineStr">
        <is>
          <t>25,000 – 50,000</t>
        </is>
      </c>
      <c r="L143" t="inlineStr">
        <is>
          <t xml:space="preserve">Undergraduate </t>
        </is>
      </c>
      <c r="M143" t="inlineStr">
        <is>
          <t>Western</t>
        </is>
      </c>
      <c r="N143" t="inlineStr">
        <is>
          <t>Single</t>
        </is>
      </c>
      <c r="P143" t="inlineStr">
        <is>
          <t>No</t>
        </is>
      </c>
      <c r="S143" t="inlineStr">
        <is>
          <t xml:space="preserve">During school/university  </t>
        </is>
      </c>
      <c r="U143" t="inlineStr">
        <is>
          <t>Yes</t>
        </is>
      </c>
      <c r="V143" t="inlineStr">
        <is>
          <t>Thalassemia major (severe form)   Thalassemia minor or trait (carrier form)</t>
        </is>
      </c>
      <c r="W143" t="n">
        <v>1</v>
      </c>
      <c r="X143" t="n">
        <v>1</v>
      </c>
      <c r="Y143" t="n">
        <v>0</v>
      </c>
      <c r="Z143" t="n">
        <v>0</v>
      </c>
      <c r="AA143" t="inlineStr">
        <is>
          <t xml:space="preserve">Thalassemia major (severe form)  </t>
        </is>
      </c>
      <c r="AB143" t="n">
        <v>1</v>
      </c>
      <c r="AC143" t="n">
        <v>0</v>
      </c>
      <c r="AD143" t="n">
        <v>0</v>
      </c>
      <c r="AE143" t="n">
        <v>0</v>
      </c>
      <c r="AF143" t="inlineStr">
        <is>
          <t>Thalassemia minor or trait (carrier form)</t>
        </is>
      </c>
      <c r="AG143" t="n">
        <v>0</v>
      </c>
      <c r="AH143" t="n">
        <v>1</v>
      </c>
      <c r="AI143" t="n">
        <v>0</v>
      </c>
      <c r="AJ143" t="n">
        <v>0</v>
      </c>
      <c r="AK143" t="inlineStr">
        <is>
          <t>Yes</t>
        </is>
      </c>
      <c r="AL143" t="inlineStr">
        <is>
          <t xml:space="preserve">Cannot be cured   </t>
        </is>
      </c>
      <c r="AM143" t="inlineStr">
        <is>
          <t xml:space="preserve">Can be prevented </t>
        </is>
      </c>
      <c r="AN143" t="inlineStr">
        <is>
          <t xml:space="preserve">From generation to generation (hereditary)  </t>
        </is>
      </c>
      <c r="AO143" t="inlineStr">
        <is>
          <t>Healthy</t>
        </is>
      </c>
      <c r="AP143" t="inlineStr">
        <is>
          <t xml:space="preserve">Has a chance to be affected (e.g., 25%) </t>
        </is>
      </c>
      <c r="AQ143" t="inlineStr">
        <is>
          <t xml:space="preserve">Yes </t>
        </is>
      </c>
      <c r="AR143" t="inlineStr">
        <is>
          <t>Don’t know</t>
        </is>
      </c>
      <c r="AS143" t="inlineStr">
        <is>
          <t xml:space="preserve">Regular blood transfusions for life </t>
        </is>
      </c>
      <c r="AT143" t="n">
        <v>1</v>
      </c>
      <c r="AU143" t="n">
        <v>0</v>
      </c>
      <c r="AV143" t="n">
        <v>0</v>
      </c>
      <c r="AW143" t="n">
        <v>0</v>
      </c>
      <c r="AX143" t="n">
        <v>0</v>
      </c>
      <c r="AY143" t="n">
        <v>0</v>
      </c>
      <c r="AZ143" t="n">
        <v>0</v>
      </c>
      <c r="BA143" t="n">
        <v>0</v>
      </c>
      <c r="BB143" t="inlineStr">
        <is>
          <t xml:space="preserve"> Get the partner tested before marriage   Get family members tested </t>
        </is>
      </c>
      <c r="BC143" t="n">
        <v>1</v>
      </c>
      <c r="BD143" t="n">
        <v>1</v>
      </c>
      <c r="BE143" t="n">
        <v>0</v>
      </c>
      <c r="BF143" t="n">
        <v>0</v>
      </c>
      <c r="BG143" t="inlineStr">
        <is>
          <t xml:space="preserve">School  </t>
        </is>
      </c>
      <c r="BH143" t="inlineStr">
        <is>
          <t>Definitely not</t>
        </is>
      </c>
      <c r="BI143" t="inlineStr">
        <is>
          <t xml:space="preserve">No </t>
        </is>
      </c>
      <c r="BJ143" t="inlineStr">
        <is>
          <t xml:space="preserve">Very important </t>
        </is>
      </c>
      <c r="BK143" t="inlineStr">
        <is>
          <t>Other</t>
        </is>
      </c>
      <c r="BL143" t="inlineStr">
        <is>
          <t>Still not married. Will be screen before marriage</t>
        </is>
      </c>
      <c r="BM143" t="inlineStr">
        <is>
          <t>Other</t>
        </is>
      </c>
      <c r="BN143" t="inlineStr">
        <is>
          <t>Still not married. Will be screen before marriage</t>
        </is>
      </c>
      <c r="BP143" t="inlineStr">
        <is>
          <t xml:space="preserve">Agree </t>
        </is>
      </c>
      <c r="BQ143" t="inlineStr">
        <is>
          <t xml:space="preserve">Yes </t>
        </is>
      </c>
      <c r="BS143" t="inlineStr">
        <is>
          <t>All</t>
        </is>
      </c>
      <c r="BT143" t="inlineStr">
        <is>
          <t>Some</t>
        </is>
      </c>
      <c r="BU143" t="inlineStr">
        <is>
          <t>None</t>
        </is>
      </c>
      <c r="BV143" t="inlineStr">
        <is>
          <t>Lack of knowledge  Perception that screening was unnecessary</t>
        </is>
      </c>
      <c r="BW143" t="n">
        <v>1</v>
      </c>
      <c r="BX143" t="n">
        <v>0</v>
      </c>
      <c r="BY143" t="n">
        <v>0</v>
      </c>
      <c r="BZ143" t="n">
        <v>1</v>
      </c>
      <c r="CA143" t="n">
        <v>0</v>
      </c>
      <c r="CB143" t="n">
        <v>0</v>
      </c>
      <c r="CD143" t="inlineStr">
        <is>
          <t xml:space="preserve">Somewhat easy </t>
        </is>
      </c>
      <c r="CE143" t="inlineStr">
        <is>
          <t xml:space="preserve"> Very important</t>
        </is>
      </c>
      <c r="CF143" t="n">
        <v>600014503</v>
      </c>
      <c r="CG143" t="inlineStr">
        <is>
          <t>50e8152e-37b2-4068-ac80-0a0867c1e6bf</t>
        </is>
      </c>
      <c r="CH143" s="1" t="n">
        <v>45967.71195601852</v>
      </c>
      <c r="CK143" t="inlineStr">
        <is>
          <t>submitted_via_web</t>
        </is>
      </c>
      <c r="CM143" t="inlineStr">
        <is>
          <t>vteYUDpqfKnk39PHFZkvPS</t>
        </is>
      </c>
      <c r="CO143" t="inlineStr">
        <is>
          <t>uuid:50e8152e-37b2-4068-ac80-0a0867c1e6bf</t>
        </is>
      </c>
      <c r="CP143" t="n">
        <v>142</v>
      </c>
      <c r="CQ143" t="n">
        <v>3</v>
      </c>
      <c r="CR143" t="n">
        <v>-0.3165225292847399</v>
      </c>
    </row>
    <row r="144">
      <c r="A144" s="1" t="n">
        <v>45967.94099188657</v>
      </c>
      <c r="B144" s="1" t="n">
        <v>45967.94502546296</v>
      </c>
      <c r="D144" t="inlineStr">
        <is>
          <t>20</t>
        </is>
      </c>
      <c r="E144" t="inlineStr">
        <is>
          <t xml:space="preserve">Male </t>
        </is>
      </c>
      <c r="F144" t="inlineStr">
        <is>
          <t>Sinhalese</t>
        </is>
      </c>
      <c r="H144" t="inlineStr">
        <is>
          <t>Buddhist</t>
        </is>
      </c>
      <c r="J144" t="inlineStr">
        <is>
          <t>Not employed</t>
        </is>
      </c>
      <c r="L144" t="inlineStr">
        <is>
          <t xml:space="preserve">Up to O/L </t>
        </is>
      </c>
      <c r="M144" t="inlineStr">
        <is>
          <t>Western</t>
        </is>
      </c>
      <c r="N144" t="inlineStr">
        <is>
          <t>Single</t>
        </is>
      </c>
      <c r="P144" t="inlineStr">
        <is>
          <t>No</t>
        </is>
      </c>
      <c r="S144" t="inlineStr">
        <is>
          <t xml:space="preserve">During school/university  </t>
        </is>
      </c>
      <c r="U144" t="inlineStr">
        <is>
          <t>Yes</t>
        </is>
      </c>
      <c r="V144" t="inlineStr">
        <is>
          <t>Thalassemia major (severe form)   Thalassemia minor or trait (carrier form)</t>
        </is>
      </c>
      <c r="W144" t="n">
        <v>1</v>
      </c>
      <c r="X144" t="n">
        <v>1</v>
      </c>
      <c r="Y144" t="n">
        <v>0</v>
      </c>
      <c r="Z144" t="n">
        <v>0</v>
      </c>
      <c r="AA144" t="inlineStr">
        <is>
          <t xml:space="preserve">Thalassemia major (severe form)  </t>
        </is>
      </c>
      <c r="AB144" t="n">
        <v>1</v>
      </c>
      <c r="AC144" t="n">
        <v>0</v>
      </c>
      <c r="AD144" t="n">
        <v>0</v>
      </c>
      <c r="AE144" t="n">
        <v>0</v>
      </c>
      <c r="AF144" t="inlineStr">
        <is>
          <t>Thalassemia minor or trait (carrier form)</t>
        </is>
      </c>
      <c r="AG144" t="n">
        <v>0</v>
      </c>
      <c r="AH144" t="n">
        <v>1</v>
      </c>
      <c r="AI144" t="n">
        <v>0</v>
      </c>
      <c r="AJ144" t="n">
        <v>0</v>
      </c>
      <c r="AK144" t="inlineStr">
        <is>
          <t>Yes</t>
        </is>
      </c>
      <c r="AL144" t="inlineStr">
        <is>
          <t>Don’t know</t>
        </is>
      </c>
      <c r="AM144" t="inlineStr">
        <is>
          <t xml:space="preserve">Can be prevented </t>
        </is>
      </c>
      <c r="AN144" t="inlineStr">
        <is>
          <t xml:space="preserve">From generation to generation (hereditary)  </t>
        </is>
      </c>
      <c r="AO144" t="inlineStr">
        <is>
          <t>Healthy</t>
        </is>
      </c>
      <c r="AP144" t="inlineStr">
        <is>
          <t xml:space="preserve">Has a chance to be affected (e.g., 25%) </t>
        </is>
      </c>
      <c r="AQ144" t="inlineStr">
        <is>
          <t xml:space="preserve">Yes </t>
        </is>
      </c>
      <c r="AR144" t="inlineStr">
        <is>
          <t>Don’t know</t>
        </is>
      </c>
      <c r="AS144" t="inlineStr">
        <is>
          <t xml:space="preserve">Regular blood transfusions for life </t>
        </is>
      </c>
      <c r="AT144" t="n">
        <v>1</v>
      </c>
      <c r="AU144" t="n">
        <v>0</v>
      </c>
      <c r="AV144" t="n">
        <v>0</v>
      </c>
      <c r="AW144" t="n">
        <v>0</v>
      </c>
      <c r="AX144" t="n">
        <v>0</v>
      </c>
      <c r="AY144" t="n">
        <v>0</v>
      </c>
      <c r="AZ144" t="n">
        <v>0</v>
      </c>
      <c r="BA144" t="n">
        <v>0</v>
      </c>
      <c r="BB144" t="inlineStr">
        <is>
          <t xml:space="preserve"> Get the partner tested before marriage   Get family members tested </t>
        </is>
      </c>
      <c r="BC144" t="n">
        <v>1</v>
      </c>
      <c r="BD144" t="n">
        <v>1</v>
      </c>
      <c r="BE144" t="n">
        <v>0</v>
      </c>
      <c r="BF144" t="n">
        <v>0</v>
      </c>
      <c r="BG144" t="inlineStr">
        <is>
          <t xml:space="preserve">School  </t>
        </is>
      </c>
      <c r="BH144" t="inlineStr">
        <is>
          <t>Definitely not</t>
        </is>
      </c>
      <c r="BI144" t="inlineStr">
        <is>
          <t xml:space="preserve">No </t>
        </is>
      </c>
      <c r="BJ144" t="inlineStr">
        <is>
          <t xml:space="preserve">Very important </t>
        </is>
      </c>
      <c r="BK144" t="inlineStr">
        <is>
          <t>Other</t>
        </is>
      </c>
      <c r="BL144" t="inlineStr">
        <is>
          <t>Still not married. Will be screen before marriage</t>
        </is>
      </c>
      <c r="BM144" t="inlineStr">
        <is>
          <t>Other</t>
        </is>
      </c>
      <c r="BN144" t="inlineStr">
        <is>
          <t>Still not married. Will be screen before marriage</t>
        </is>
      </c>
      <c r="BP144" t="inlineStr">
        <is>
          <t xml:space="preserve">Disagree </t>
        </is>
      </c>
      <c r="BQ144" t="inlineStr">
        <is>
          <t xml:space="preserve">Yes </t>
        </is>
      </c>
      <c r="BS144" t="inlineStr">
        <is>
          <t>Some</t>
        </is>
      </c>
      <c r="BT144" t="inlineStr">
        <is>
          <t>None</t>
        </is>
      </c>
      <c r="BU144" t="inlineStr">
        <is>
          <t>None</t>
        </is>
      </c>
      <c r="BV144" t="inlineStr">
        <is>
          <t>Lack of knowledge  Perception that screening was unnecessary</t>
        </is>
      </c>
      <c r="BW144" t="n">
        <v>1</v>
      </c>
      <c r="BX144" t="n">
        <v>0</v>
      </c>
      <c r="BY144" t="n">
        <v>0</v>
      </c>
      <c r="BZ144" t="n">
        <v>1</v>
      </c>
      <c r="CA144" t="n">
        <v>0</v>
      </c>
      <c r="CB144" t="n">
        <v>0</v>
      </c>
      <c r="CD144" t="inlineStr">
        <is>
          <t xml:space="preserve">Somewhat easy </t>
        </is>
      </c>
      <c r="CE144" t="inlineStr">
        <is>
          <t xml:space="preserve"> Very important</t>
        </is>
      </c>
      <c r="CF144" t="n">
        <v>600017738</v>
      </c>
      <c r="CG144" t="inlineStr">
        <is>
          <t>6fd4582e-d306-449f-bd0c-a9b876cae6f1</t>
        </is>
      </c>
      <c r="CH144" s="1" t="n">
        <v>45967.71586805556</v>
      </c>
      <c r="CK144" t="inlineStr">
        <is>
          <t>submitted_via_web</t>
        </is>
      </c>
      <c r="CM144" t="inlineStr">
        <is>
          <t>vteYUDpqfKnk39PHFZkvPS</t>
        </is>
      </c>
      <c r="CO144" t="inlineStr">
        <is>
          <t>uuid:6fd4582e-d306-449f-bd0c-a9b876cae6f1</t>
        </is>
      </c>
      <c r="CP144" t="n">
        <v>143</v>
      </c>
      <c r="CQ144" t="n">
        <v>3</v>
      </c>
      <c r="CR144" t="n">
        <v>-0.3165225292847399</v>
      </c>
    </row>
    <row r="145">
      <c r="A145" s="1" t="n">
        <v>45969.59215896991</v>
      </c>
      <c r="B145" s="1" t="n">
        <v>45969.60200465278</v>
      </c>
      <c r="D145" t="inlineStr">
        <is>
          <t>28</t>
        </is>
      </c>
      <c r="E145" t="inlineStr">
        <is>
          <t>Female</t>
        </is>
      </c>
      <c r="F145" t="inlineStr">
        <is>
          <t>Sinhalese</t>
        </is>
      </c>
      <c r="H145" t="inlineStr">
        <is>
          <t>Buddhist</t>
        </is>
      </c>
      <c r="J145" t="inlineStr">
        <is>
          <t>Private sector</t>
        </is>
      </c>
      <c r="K145" t="inlineStr">
        <is>
          <t>25,000 – 50,000</t>
        </is>
      </c>
      <c r="L145" t="inlineStr">
        <is>
          <t xml:space="preserve">Up to A/L </t>
        </is>
      </c>
      <c r="M145" t="inlineStr">
        <is>
          <t xml:space="preserve">North Western </t>
        </is>
      </c>
      <c r="N145" t="inlineStr">
        <is>
          <t>Single</t>
        </is>
      </c>
      <c r="P145" t="inlineStr">
        <is>
          <t>No</t>
        </is>
      </c>
      <c r="S145" t="inlineStr">
        <is>
          <t>At workplace</t>
        </is>
      </c>
      <c r="U145" t="inlineStr">
        <is>
          <t>Yes</t>
        </is>
      </c>
      <c r="V145" t="inlineStr">
        <is>
          <t>I don’t know</t>
        </is>
      </c>
      <c r="W145" t="n">
        <v>0</v>
      </c>
      <c r="X145" t="n">
        <v>0</v>
      </c>
      <c r="Y145" t="n">
        <v>0</v>
      </c>
      <c r="Z145" t="n">
        <v>1</v>
      </c>
      <c r="AA145" t="inlineStr">
        <is>
          <t>I don’t know</t>
        </is>
      </c>
      <c r="AB145" t="n">
        <v>0</v>
      </c>
      <c r="AC145" t="n">
        <v>0</v>
      </c>
      <c r="AD145" t="n">
        <v>0</v>
      </c>
      <c r="AE145" t="n">
        <v>1</v>
      </c>
      <c r="AF145" t="inlineStr">
        <is>
          <t>Thalassemia minor or trait (carrier form)</t>
        </is>
      </c>
      <c r="AG145" t="n">
        <v>0</v>
      </c>
      <c r="AH145" t="n">
        <v>1</v>
      </c>
      <c r="AI145" t="n">
        <v>0</v>
      </c>
      <c r="AJ145" t="n">
        <v>0</v>
      </c>
      <c r="AK145" t="inlineStr">
        <is>
          <t>Yes</t>
        </is>
      </c>
      <c r="AL145" t="inlineStr">
        <is>
          <t>Don’t know</t>
        </is>
      </c>
      <c r="AM145" t="inlineStr">
        <is>
          <t>Not sure</t>
        </is>
      </c>
      <c r="AN145" t="inlineStr">
        <is>
          <t xml:space="preserve">From generation to generation (hereditary)  </t>
        </is>
      </c>
      <c r="AO145" t="inlineStr">
        <is>
          <t>Healthy</t>
        </is>
      </c>
      <c r="AP145" t="inlineStr">
        <is>
          <t>Always affected by thalassemia</t>
        </is>
      </c>
      <c r="AQ145" t="inlineStr">
        <is>
          <t xml:space="preserve">Yes </t>
        </is>
      </c>
      <c r="AR145" t="inlineStr">
        <is>
          <t>Don’t know</t>
        </is>
      </c>
      <c r="AS145" t="inlineStr">
        <is>
          <t xml:space="preserve">Regular blood transfusions for life </t>
        </is>
      </c>
      <c r="AT145" t="n">
        <v>1</v>
      </c>
      <c r="AU145" t="n">
        <v>0</v>
      </c>
      <c r="AV145" t="n">
        <v>0</v>
      </c>
      <c r="AW145" t="n">
        <v>0</v>
      </c>
      <c r="AX145" t="n">
        <v>0</v>
      </c>
      <c r="AY145" t="n">
        <v>0</v>
      </c>
      <c r="AZ145" t="n">
        <v>0</v>
      </c>
      <c r="BA145" t="n">
        <v>0</v>
      </c>
      <c r="BB145" t="inlineStr">
        <is>
          <t xml:space="preserve"> Get the partner tested before marriage  </t>
        </is>
      </c>
      <c r="BC145" t="n">
        <v>1</v>
      </c>
      <c r="BD145" t="n">
        <v>0</v>
      </c>
      <c r="BE145" t="n">
        <v>0</v>
      </c>
      <c r="BF145" t="n">
        <v>0</v>
      </c>
      <c r="BG145" t="inlineStr">
        <is>
          <t>Only found out after screening</t>
        </is>
      </c>
      <c r="BH145" t="inlineStr">
        <is>
          <t xml:space="preserve">Not sure </t>
        </is>
      </c>
      <c r="BI145" t="inlineStr">
        <is>
          <t>Not sure</t>
        </is>
      </c>
      <c r="BJ145" t="inlineStr">
        <is>
          <t xml:space="preserve">Important </t>
        </is>
      </c>
      <c r="BP145" t="inlineStr">
        <is>
          <t xml:space="preserve">Agree </t>
        </is>
      </c>
      <c r="BQ145" t="inlineStr">
        <is>
          <t xml:space="preserve">Yes </t>
        </is>
      </c>
      <c r="BS145" t="inlineStr">
        <is>
          <t>None</t>
        </is>
      </c>
      <c r="BT145" t="inlineStr">
        <is>
          <t>None</t>
        </is>
      </c>
      <c r="BU145" t="inlineStr">
        <is>
          <t>None</t>
        </is>
      </c>
      <c r="BV145" t="inlineStr">
        <is>
          <t xml:space="preserve">Lack of knowledge </t>
        </is>
      </c>
      <c r="BW145" t="n">
        <v>1</v>
      </c>
      <c r="BX145" t="n">
        <v>0</v>
      </c>
      <c r="BY145" t="n">
        <v>0</v>
      </c>
      <c r="BZ145" t="n">
        <v>0</v>
      </c>
      <c r="CA145" t="n">
        <v>0</v>
      </c>
      <c r="CB145" t="n">
        <v>0</v>
      </c>
      <c r="CE145" t="inlineStr">
        <is>
          <t xml:space="preserve">Slightly important </t>
        </is>
      </c>
      <c r="CF145" t="n">
        <v>601023359</v>
      </c>
      <c r="CG145" t="inlineStr">
        <is>
          <t>fc85208e-a8cc-42ea-9cbe-c4750f21f85e</t>
        </is>
      </c>
      <c r="CH145" s="1" t="n">
        <v>45969.3728587963</v>
      </c>
      <c r="CK145" t="inlineStr">
        <is>
          <t>submitted_via_web</t>
        </is>
      </c>
      <c r="CM145" t="inlineStr">
        <is>
          <t>vteYUDpqfKnk39PHFZkvPS</t>
        </is>
      </c>
      <c r="CO145" t="inlineStr">
        <is>
          <t>uuid:fc85208e-a8cc-42ea-9cbe-c4750f21f85e</t>
        </is>
      </c>
      <c r="CP145" t="n">
        <v>144</v>
      </c>
      <c r="CQ145" t="n">
        <v>1</v>
      </c>
      <c r="CR145" t="n">
        <v>-1.097148644453239</v>
      </c>
    </row>
    <row r="146">
      <c r="A146" s="1" t="n">
        <v>45969.62151396991</v>
      </c>
      <c r="B146" s="1" t="n">
        <v>45969.62997842592</v>
      </c>
      <c r="D146" t="inlineStr">
        <is>
          <t>25</t>
        </is>
      </c>
      <c r="E146" t="inlineStr">
        <is>
          <t>Female</t>
        </is>
      </c>
      <c r="F146" t="inlineStr">
        <is>
          <t>Sinhalese</t>
        </is>
      </c>
      <c r="H146" t="inlineStr">
        <is>
          <t>Buddhist</t>
        </is>
      </c>
      <c r="J146" t="inlineStr">
        <is>
          <t>Private sector</t>
        </is>
      </c>
      <c r="K146" t="inlineStr">
        <is>
          <t>25,000 – 50,000</t>
        </is>
      </c>
      <c r="L146" t="inlineStr">
        <is>
          <t xml:space="preserve">Up to A/L </t>
        </is>
      </c>
      <c r="M146" t="inlineStr">
        <is>
          <t>Western</t>
        </is>
      </c>
      <c r="N146" t="inlineStr">
        <is>
          <t>Single</t>
        </is>
      </c>
      <c r="P146" t="inlineStr">
        <is>
          <t>No</t>
        </is>
      </c>
      <c r="S146" t="inlineStr">
        <is>
          <t>At workplace</t>
        </is>
      </c>
      <c r="U146" t="inlineStr">
        <is>
          <t>Yes</t>
        </is>
      </c>
      <c r="V146" t="inlineStr">
        <is>
          <t>I don’t know</t>
        </is>
      </c>
      <c r="W146" t="n">
        <v>0</v>
      </c>
      <c r="X146" t="n">
        <v>0</v>
      </c>
      <c r="Y146" t="n">
        <v>0</v>
      </c>
      <c r="Z146" t="n">
        <v>1</v>
      </c>
      <c r="AA146" t="inlineStr">
        <is>
          <t>I don’t know</t>
        </is>
      </c>
      <c r="AB146" t="n">
        <v>0</v>
      </c>
      <c r="AC146" t="n">
        <v>0</v>
      </c>
      <c r="AD146" t="n">
        <v>0</v>
      </c>
      <c r="AE146" t="n">
        <v>1</v>
      </c>
      <c r="AF146" t="inlineStr">
        <is>
          <t>Thalassemia minor or trait (carrier form)</t>
        </is>
      </c>
      <c r="AG146" t="n">
        <v>0</v>
      </c>
      <c r="AH146" t="n">
        <v>1</v>
      </c>
      <c r="AI146" t="n">
        <v>0</v>
      </c>
      <c r="AJ146" t="n">
        <v>0</v>
      </c>
      <c r="AK146" t="inlineStr">
        <is>
          <t>Don’t know</t>
        </is>
      </c>
      <c r="AL146" t="inlineStr">
        <is>
          <t>Don’t know</t>
        </is>
      </c>
      <c r="AM146" t="inlineStr">
        <is>
          <t>Not sure</t>
        </is>
      </c>
      <c r="AN146" t="inlineStr">
        <is>
          <t>Don’t know</t>
        </is>
      </c>
      <c r="AO146" t="inlineStr">
        <is>
          <t>Healthy</t>
        </is>
      </c>
      <c r="AP146" t="inlineStr">
        <is>
          <t>Always affected by thalassemia</t>
        </is>
      </c>
      <c r="AQ146" t="inlineStr">
        <is>
          <t xml:space="preserve">Yes </t>
        </is>
      </c>
      <c r="AR146" t="inlineStr">
        <is>
          <t>Don’t know</t>
        </is>
      </c>
      <c r="BB146" t="inlineStr">
        <is>
          <t xml:space="preserve"> Get the partner tested before marriage  </t>
        </is>
      </c>
      <c r="BC146" t="n">
        <v>1</v>
      </c>
      <c r="BD146" t="n">
        <v>0</v>
      </c>
      <c r="BE146" t="n">
        <v>0</v>
      </c>
      <c r="BF146" t="n">
        <v>0</v>
      </c>
      <c r="BG146" t="inlineStr">
        <is>
          <t>Only found out after screening</t>
        </is>
      </c>
      <c r="BH146" t="inlineStr">
        <is>
          <t>Definitely not</t>
        </is>
      </c>
      <c r="BI146" t="inlineStr">
        <is>
          <t>Not sure</t>
        </is>
      </c>
      <c r="BJ146" t="inlineStr">
        <is>
          <t xml:space="preserve">Important </t>
        </is>
      </c>
      <c r="BP146" t="inlineStr">
        <is>
          <t xml:space="preserve">Agree </t>
        </is>
      </c>
      <c r="BQ146" t="inlineStr">
        <is>
          <t xml:space="preserve">Yes </t>
        </is>
      </c>
      <c r="BS146" t="inlineStr">
        <is>
          <t>All</t>
        </is>
      </c>
      <c r="BT146" t="inlineStr">
        <is>
          <t>None</t>
        </is>
      </c>
      <c r="BU146" t="inlineStr">
        <is>
          <t>None</t>
        </is>
      </c>
      <c r="BV146" t="inlineStr">
        <is>
          <t xml:space="preserve">Lack of knowledge </t>
        </is>
      </c>
      <c r="BW146" t="n">
        <v>1</v>
      </c>
      <c r="BX146" t="n">
        <v>0</v>
      </c>
      <c r="BY146" t="n">
        <v>0</v>
      </c>
      <c r="BZ146" t="n">
        <v>0</v>
      </c>
      <c r="CA146" t="n">
        <v>0</v>
      </c>
      <c r="CB146" t="n">
        <v>0</v>
      </c>
      <c r="CD146" t="inlineStr">
        <is>
          <t>Not sure</t>
        </is>
      </c>
      <c r="CE146" t="inlineStr">
        <is>
          <t xml:space="preserve">Important </t>
        </is>
      </c>
      <c r="CF146" t="n">
        <v>601043414</v>
      </c>
      <c r="CG146" t="inlineStr">
        <is>
          <t>35d47e97-99e6-4800-80a8-edc7d53555d5</t>
        </is>
      </c>
      <c r="CH146" s="1" t="n">
        <v>45969.40083333333</v>
      </c>
      <c r="CK146" t="inlineStr">
        <is>
          <t>submitted_via_web</t>
        </is>
      </c>
      <c r="CM146" t="inlineStr">
        <is>
          <t>vteYUDpqfKnk39PHFZkvPS</t>
        </is>
      </c>
      <c r="CO146" t="inlineStr">
        <is>
          <t>uuid:35d47e97-99e6-4800-80a8-edc7d53555d5</t>
        </is>
      </c>
      <c r="CP146" t="n">
        <v>145</v>
      </c>
      <c r="CQ146" t="n">
        <v>0</v>
      </c>
      <c r="CR146" t="n">
        <v>-1.487461702037489</v>
      </c>
    </row>
    <row r="147">
      <c r="A147" s="1" t="n">
        <v>45969.62997980324</v>
      </c>
      <c r="B147" s="1" t="n">
        <v>45969.6358047338</v>
      </c>
      <c r="D147" t="inlineStr">
        <is>
          <t>28</t>
        </is>
      </c>
      <c r="E147" t="inlineStr">
        <is>
          <t>Female</t>
        </is>
      </c>
      <c r="F147" t="inlineStr">
        <is>
          <t>Sinhalese</t>
        </is>
      </c>
      <c r="H147" t="inlineStr">
        <is>
          <t>Buddhist</t>
        </is>
      </c>
      <c r="J147" t="inlineStr">
        <is>
          <t>Private sector</t>
        </is>
      </c>
      <c r="K147" t="inlineStr">
        <is>
          <t>25,000 – 50,000</t>
        </is>
      </c>
      <c r="L147" t="inlineStr">
        <is>
          <t xml:space="preserve">Up to A/L </t>
        </is>
      </c>
      <c r="M147" t="inlineStr">
        <is>
          <t>Western</t>
        </is>
      </c>
      <c r="N147" t="inlineStr">
        <is>
          <t>Single</t>
        </is>
      </c>
      <c r="P147" t="inlineStr">
        <is>
          <t>No</t>
        </is>
      </c>
      <c r="S147" t="inlineStr">
        <is>
          <t>At workplace</t>
        </is>
      </c>
      <c r="U147" t="inlineStr">
        <is>
          <t>Yes</t>
        </is>
      </c>
      <c r="V147" t="inlineStr">
        <is>
          <t>I don’t know</t>
        </is>
      </c>
      <c r="W147" t="n">
        <v>0</v>
      </c>
      <c r="X147" t="n">
        <v>0</v>
      </c>
      <c r="Y147" t="n">
        <v>0</v>
      </c>
      <c r="Z147" t="n">
        <v>1</v>
      </c>
      <c r="AA147" t="inlineStr">
        <is>
          <t>I don’t know</t>
        </is>
      </c>
      <c r="AB147" t="n">
        <v>0</v>
      </c>
      <c r="AC147" t="n">
        <v>0</v>
      </c>
      <c r="AD147" t="n">
        <v>0</v>
      </c>
      <c r="AE147" t="n">
        <v>1</v>
      </c>
      <c r="AF147" t="inlineStr">
        <is>
          <t>Thalassemia minor or trait (carrier form)</t>
        </is>
      </c>
      <c r="AG147" t="n">
        <v>0</v>
      </c>
      <c r="AH147" t="n">
        <v>1</v>
      </c>
      <c r="AI147" t="n">
        <v>0</v>
      </c>
      <c r="AJ147" t="n">
        <v>0</v>
      </c>
      <c r="AK147" t="inlineStr">
        <is>
          <t>Don’t know</t>
        </is>
      </c>
      <c r="AL147" t="inlineStr">
        <is>
          <t>Don’t know</t>
        </is>
      </c>
      <c r="AM147" t="inlineStr">
        <is>
          <t>Not sure</t>
        </is>
      </c>
      <c r="AN147" t="inlineStr">
        <is>
          <t>Don’t know</t>
        </is>
      </c>
      <c r="AO147" t="inlineStr">
        <is>
          <t>Healthy</t>
        </is>
      </c>
      <c r="AP147" t="inlineStr">
        <is>
          <t>Always affected by thalassemia</t>
        </is>
      </c>
      <c r="AQ147" t="inlineStr">
        <is>
          <t xml:space="preserve">Yes </t>
        </is>
      </c>
      <c r="AR147" t="inlineStr">
        <is>
          <t>Don’t know</t>
        </is>
      </c>
      <c r="AS147" t="inlineStr">
        <is>
          <t xml:space="preserve">Regular blood transfusions for life </t>
        </is>
      </c>
      <c r="AT147" t="n">
        <v>1</v>
      </c>
      <c r="AU147" t="n">
        <v>0</v>
      </c>
      <c r="AV147" t="n">
        <v>0</v>
      </c>
      <c r="AW147" t="n">
        <v>0</v>
      </c>
      <c r="AX147" t="n">
        <v>0</v>
      </c>
      <c r="AY147" t="n">
        <v>0</v>
      </c>
      <c r="AZ147" t="n">
        <v>0</v>
      </c>
      <c r="BA147" t="n">
        <v>0</v>
      </c>
      <c r="BB147" t="inlineStr">
        <is>
          <t>I don’t know</t>
        </is>
      </c>
      <c r="BC147" t="n">
        <v>0</v>
      </c>
      <c r="BD147" t="n">
        <v>0</v>
      </c>
      <c r="BE147" t="n">
        <v>0</v>
      </c>
      <c r="BF147" t="n">
        <v>1</v>
      </c>
      <c r="BG147" t="inlineStr">
        <is>
          <t>Only found out after screening</t>
        </is>
      </c>
      <c r="BH147" t="inlineStr">
        <is>
          <t xml:space="preserve">Not sure </t>
        </is>
      </c>
      <c r="BI147" t="inlineStr">
        <is>
          <t>Not sure</t>
        </is>
      </c>
      <c r="BJ147" t="inlineStr">
        <is>
          <t xml:space="preserve">Important </t>
        </is>
      </c>
      <c r="BP147" t="inlineStr">
        <is>
          <t xml:space="preserve">Agree </t>
        </is>
      </c>
      <c r="BQ147" t="inlineStr">
        <is>
          <t xml:space="preserve">Yes </t>
        </is>
      </c>
      <c r="BS147" t="inlineStr">
        <is>
          <t>All</t>
        </is>
      </c>
      <c r="BT147" t="inlineStr">
        <is>
          <t>None</t>
        </is>
      </c>
      <c r="BU147" t="inlineStr">
        <is>
          <t>None</t>
        </is>
      </c>
      <c r="BV147" t="inlineStr">
        <is>
          <t xml:space="preserve">Lack of knowledge </t>
        </is>
      </c>
      <c r="BW147" t="n">
        <v>1</v>
      </c>
      <c r="BX147" t="n">
        <v>0</v>
      </c>
      <c r="BY147" t="n">
        <v>0</v>
      </c>
      <c r="BZ147" t="n">
        <v>0</v>
      </c>
      <c r="CA147" t="n">
        <v>0</v>
      </c>
      <c r="CB147" t="n">
        <v>0</v>
      </c>
      <c r="CD147" t="inlineStr">
        <is>
          <t>Not sure</t>
        </is>
      </c>
      <c r="CE147" t="inlineStr">
        <is>
          <t xml:space="preserve">Important </t>
        </is>
      </c>
      <c r="CF147" t="n">
        <v>601048287</v>
      </c>
      <c r="CG147" t="inlineStr">
        <is>
          <t>a36f9527-f9dd-4ee1-b833-e90b348bcd29</t>
        </is>
      </c>
      <c r="CH147" s="1" t="n">
        <v>45969.40664351852</v>
      </c>
      <c r="CK147" t="inlineStr">
        <is>
          <t>submitted_via_web</t>
        </is>
      </c>
      <c r="CM147" t="inlineStr">
        <is>
          <t>vteYUDpqfKnk39PHFZkvPS</t>
        </is>
      </c>
      <c r="CO147" t="inlineStr">
        <is>
          <t>uuid:a36f9527-f9dd-4ee1-b833-e90b348bcd29</t>
        </is>
      </c>
      <c r="CP147" t="n">
        <v>146</v>
      </c>
      <c r="CQ147" t="n">
        <v>1</v>
      </c>
      <c r="CR147" t="n">
        <v>-1.097148644453239</v>
      </c>
    </row>
    <row r="148">
      <c r="A148" s="1" t="n">
        <v>45969.63580592593</v>
      </c>
      <c r="B148" s="1" t="n">
        <v>45969.64948064815</v>
      </c>
      <c r="D148" t="inlineStr">
        <is>
          <t>28</t>
        </is>
      </c>
      <c r="E148" t="inlineStr">
        <is>
          <t>Female</t>
        </is>
      </c>
      <c r="F148" t="inlineStr">
        <is>
          <t>Sinhalese</t>
        </is>
      </c>
      <c r="H148" t="inlineStr">
        <is>
          <t>Buddhist</t>
        </is>
      </c>
      <c r="J148" t="inlineStr">
        <is>
          <t>Private sector</t>
        </is>
      </c>
      <c r="K148" t="inlineStr">
        <is>
          <t>25,000 – 50,000</t>
        </is>
      </c>
      <c r="L148" t="inlineStr">
        <is>
          <t xml:space="preserve">Up to A/L </t>
        </is>
      </c>
      <c r="M148" t="inlineStr">
        <is>
          <t>Western</t>
        </is>
      </c>
      <c r="N148" t="inlineStr">
        <is>
          <t>Single</t>
        </is>
      </c>
      <c r="P148" t="inlineStr">
        <is>
          <t>No</t>
        </is>
      </c>
      <c r="S148" t="inlineStr">
        <is>
          <t>At workplace</t>
        </is>
      </c>
      <c r="U148" t="inlineStr">
        <is>
          <t>Don’t know</t>
        </is>
      </c>
      <c r="V148" t="inlineStr">
        <is>
          <t>I don’t know</t>
        </is>
      </c>
      <c r="W148" t="n">
        <v>0</v>
      </c>
      <c r="X148" t="n">
        <v>0</v>
      </c>
      <c r="Y148" t="n">
        <v>0</v>
      </c>
      <c r="Z148" t="n">
        <v>1</v>
      </c>
      <c r="AA148" t="inlineStr">
        <is>
          <t>I don’t know</t>
        </is>
      </c>
      <c r="AB148" t="n">
        <v>0</v>
      </c>
      <c r="AC148" t="n">
        <v>0</v>
      </c>
      <c r="AD148" t="n">
        <v>0</v>
      </c>
      <c r="AE148" t="n">
        <v>1</v>
      </c>
      <c r="AF148" t="inlineStr">
        <is>
          <t>Thalassemia minor or trait (carrier form)</t>
        </is>
      </c>
      <c r="AG148" t="n">
        <v>0</v>
      </c>
      <c r="AH148" t="n">
        <v>1</v>
      </c>
      <c r="AI148" t="n">
        <v>0</v>
      </c>
      <c r="AJ148" t="n">
        <v>0</v>
      </c>
      <c r="AK148" t="inlineStr">
        <is>
          <t>Don’t know</t>
        </is>
      </c>
      <c r="AL148" t="inlineStr">
        <is>
          <t>Don’t know</t>
        </is>
      </c>
      <c r="AM148" t="inlineStr">
        <is>
          <t>Not sure</t>
        </is>
      </c>
      <c r="AN148" t="inlineStr">
        <is>
          <t>Don’t know</t>
        </is>
      </c>
      <c r="AO148" t="inlineStr">
        <is>
          <t>Healthy</t>
        </is>
      </c>
      <c r="AP148" t="inlineStr">
        <is>
          <t>Always affected by thalassemia</t>
        </is>
      </c>
      <c r="AQ148" t="inlineStr">
        <is>
          <t xml:space="preserve">Yes </t>
        </is>
      </c>
      <c r="AR148" t="inlineStr">
        <is>
          <t>Don’t know</t>
        </is>
      </c>
      <c r="AS148" t="inlineStr">
        <is>
          <t xml:space="preserve">Regular blood transfusions for life </t>
        </is>
      </c>
      <c r="AT148" t="n">
        <v>1</v>
      </c>
      <c r="AU148" t="n">
        <v>0</v>
      </c>
      <c r="AV148" t="n">
        <v>0</v>
      </c>
      <c r="AW148" t="n">
        <v>0</v>
      </c>
      <c r="AX148" t="n">
        <v>0</v>
      </c>
      <c r="AY148" t="n">
        <v>0</v>
      </c>
      <c r="AZ148" t="n">
        <v>0</v>
      </c>
      <c r="BA148" t="n">
        <v>0</v>
      </c>
      <c r="BB148" t="inlineStr">
        <is>
          <t xml:space="preserve"> Get the partner tested before marriage  </t>
        </is>
      </c>
      <c r="BC148" t="n">
        <v>1</v>
      </c>
      <c r="BD148" t="n">
        <v>0</v>
      </c>
      <c r="BE148" t="n">
        <v>0</v>
      </c>
      <c r="BF148" t="n">
        <v>0</v>
      </c>
      <c r="BG148" t="inlineStr">
        <is>
          <t>Only found out after screening</t>
        </is>
      </c>
      <c r="BH148" t="inlineStr">
        <is>
          <t xml:space="preserve">Not sure </t>
        </is>
      </c>
      <c r="BI148" t="inlineStr">
        <is>
          <t>Not sure</t>
        </is>
      </c>
      <c r="BJ148" t="inlineStr">
        <is>
          <t xml:space="preserve">Not sure </t>
        </is>
      </c>
      <c r="BP148" t="inlineStr">
        <is>
          <t xml:space="preserve">Agree </t>
        </is>
      </c>
      <c r="BQ148" t="inlineStr">
        <is>
          <t xml:space="preserve">Yes </t>
        </is>
      </c>
      <c r="BS148" t="inlineStr">
        <is>
          <t>None</t>
        </is>
      </c>
      <c r="BT148" t="inlineStr">
        <is>
          <t>None</t>
        </is>
      </c>
      <c r="BU148" t="inlineStr">
        <is>
          <t>None</t>
        </is>
      </c>
      <c r="CE148" t="inlineStr">
        <is>
          <t xml:space="preserve">Important </t>
        </is>
      </c>
      <c r="CF148" t="n">
        <v>601058455</v>
      </c>
      <c r="CG148" t="inlineStr">
        <is>
          <t>59d39f3a-f119-4468-aa07-b5a5e11ae868</t>
        </is>
      </c>
      <c r="CH148" s="1" t="n">
        <v>45969.42032407408</v>
      </c>
      <c r="CK148" t="inlineStr">
        <is>
          <t>submitted_via_web</t>
        </is>
      </c>
      <c r="CM148" t="inlineStr">
        <is>
          <t>vteYUDpqfKnk39PHFZkvPS</t>
        </is>
      </c>
      <c r="CO148" t="inlineStr">
        <is>
          <t>uuid:59d39f3a-f119-4468-aa07-b5a5e11ae868</t>
        </is>
      </c>
      <c r="CP148" t="n">
        <v>147</v>
      </c>
      <c r="CQ148" t="n">
        <v>1</v>
      </c>
      <c r="CR148" t="n">
        <v>-1.097148644453239</v>
      </c>
    </row>
    <row r="149">
      <c r="A149" s="1" t="n">
        <v>45969.64948172454</v>
      </c>
      <c r="B149" s="1" t="n">
        <v>45969.65388246527</v>
      </c>
      <c r="D149" t="inlineStr">
        <is>
          <t>26</t>
        </is>
      </c>
      <c r="E149" t="inlineStr">
        <is>
          <t>Female</t>
        </is>
      </c>
      <c r="F149" t="inlineStr">
        <is>
          <t>Sinhalese</t>
        </is>
      </c>
      <c r="H149" t="inlineStr">
        <is>
          <t>Buddhist</t>
        </is>
      </c>
      <c r="J149" t="inlineStr">
        <is>
          <t>Private sector</t>
        </is>
      </c>
      <c r="K149" t="inlineStr">
        <is>
          <t>25,000 – 50,000</t>
        </is>
      </c>
      <c r="L149" t="inlineStr">
        <is>
          <t xml:space="preserve">Up to A/L </t>
        </is>
      </c>
      <c r="M149" t="inlineStr">
        <is>
          <t>Western</t>
        </is>
      </c>
      <c r="N149" t="inlineStr">
        <is>
          <t>Single</t>
        </is>
      </c>
      <c r="P149" t="inlineStr">
        <is>
          <t>No</t>
        </is>
      </c>
      <c r="S149" t="inlineStr">
        <is>
          <t>At workplace</t>
        </is>
      </c>
      <c r="U149" t="inlineStr">
        <is>
          <t>Yes</t>
        </is>
      </c>
      <c r="V149" t="inlineStr">
        <is>
          <t>I don’t know</t>
        </is>
      </c>
      <c r="W149" t="n">
        <v>0</v>
      </c>
      <c r="X149" t="n">
        <v>0</v>
      </c>
      <c r="Y149" t="n">
        <v>0</v>
      </c>
      <c r="Z149" t="n">
        <v>1</v>
      </c>
      <c r="AA149" t="inlineStr">
        <is>
          <t>I don’t know</t>
        </is>
      </c>
      <c r="AB149" t="n">
        <v>0</v>
      </c>
      <c r="AC149" t="n">
        <v>0</v>
      </c>
      <c r="AD149" t="n">
        <v>0</v>
      </c>
      <c r="AE149" t="n">
        <v>1</v>
      </c>
      <c r="AF149" t="inlineStr">
        <is>
          <t>Thalassemia minor or trait (carrier form)</t>
        </is>
      </c>
      <c r="AG149" t="n">
        <v>0</v>
      </c>
      <c r="AH149" t="n">
        <v>1</v>
      </c>
      <c r="AI149" t="n">
        <v>0</v>
      </c>
      <c r="AJ149" t="n">
        <v>0</v>
      </c>
      <c r="AK149" t="inlineStr">
        <is>
          <t>Don’t know</t>
        </is>
      </c>
      <c r="AL149" t="inlineStr">
        <is>
          <t>Don’t know</t>
        </is>
      </c>
      <c r="AM149" t="inlineStr">
        <is>
          <t>Not sure</t>
        </is>
      </c>
      <c r="AN149" t="inlineStr">
        <is>
          <t>Don’t know</t>
        </is>
      </c>
      <c r="AO149" t="inlineStr">
        <is>
          <t>Don’t know</t>
        </is>
      </c>
      <c r="AP149" t="inlineStr">
        <is>
          <t>Don’t know</t>
        </is>
      </c>
      <c r="AQ149" t="inlineStr">
        <is>
          <t xml:space="preserve">Yes </t>
        </is>
      </c>
      <c r="AR149" t="inlineStr">
        <is>
          <t>Don’t know</t>
        </is>
      </c>
      <c r="BB149" t="inlineStr">
        <is>
          <t>I don’t know</t>
        </is>
      </c>
      <c r="BC149" t="n">
        <v>0</v>
      </c>
      <c r="BD149" t="n">
        <v>0</v>
      </c>
      <c r="BE149" t="n">
        <v>0</v>
      </c>
      <c r="BF149" t="n">
        <v>1</v>
      </c>
      <c r="BG149" t="inlineStr">
        <is>
          <t>Only found out after screening</t>
        </is>
      </c>
      <c r="BH149" t="inlineStr">
        <is>
          <t xml:space="preserve">Not sure </t>
        </is>
      </c>
      <c r="BI149" t="inlineStr">
        <is>
          <t>Not sure</t>
        </is>
      </c>
      <c r="BJ149" t="inlineStr">
        <is>
          <t xml:space="preserve">Not sure </t>
        </is>
      </c>
      <c r="BP149" t="inlineStr">
        <is>
          <t xml:space="preserve">Agree </t>
        </is>
      </c>
      <c r="BQ149" t="inlineStr">
        <is>
          <t xml:space="preserve">Yes </t>
        </is>
      </c>
      <c r="BS149" t="inlineStr">
        <is>
          <t>None</t>
        </is>
      </c>
      <c r="BT149" t="inlineStr">
        <is>
          <t>None</t>
        </is>
      </c>
      <c r="BU149" t="inlineStr">
        <is>
          <t>None</t>
        </is>
      </c>
      <c r="CD149" t="inlineStr">
        <is>
          <t>Not sure</t>
        </is>
      </c>
      <c r="CF149" t="n">
        <v>601062137</v>
      </c>
      <c r="CG149" t="inlineStr">
        <is>
          <t>808ff451-b516-451b-a77d-853462a0a0a7</t>
        </is>
      </c>
      <c r="CH149" s="1" t="n">
        <v>45969.4247337963</v>
      </c>
      <c r="CK149" t="inlineStr">
        <is>
          <t>submitted_via_web</t>
        </is>
      </c>
      <c r="CM149" t="inlineStr">
        <is>
          <t>vteYUDpqfKnk39PHFZkvPS</t>
        </is>
      </c>
      <c r="CO149" t="inlineStr">
        <is>
          <t>uuid:808ff451-b516-451b-a77d-853462a0a0a7</t>
        </is>
      </c>
      <c r="CP149" t="n">
        <v>148</v>
      </c>
      <c r="CQ149" t="n">
        <v>0</v>
      </c>
      <c r="CR149" t="n">
        <v>-1.487461702037489</v>
      </c>
    </row>
    <row r="150">
      <c r="A150" s="1" t="n">
        <v>45969.65388384259</v>
      </c>
      <c r="B150" s="1" t="n">
        <v>45969.65514993056</v>
      </c>
      <c r="D150" t="inlineStr">
        <is>
          <t>26</t>
        </is>
      </c>
      <c r="E150" t="inlineStr">
        <is>
          <t>Female</t>
        </is>
      </c>
      <c r="F150" t="inlineStr">
        <is>
          <t>Sinhalese</t>
        </is>
      </c>
      <c r="H150" t="inlineStr">
        <is>
          <t>Buddhist</t>
        </is>
      </c>
      <c r="J150" t="inlineStr">
        <is>
          <t>Private sector</t>
        </is>
      </c>
      <c r="K150" t="inlineStr">
        <is>
          <t>25,000 – 50,000</t>
        </is>
      </c>
      <c r="L150" t="inlineStr">
        <is>
          <t xml:space="preserve">Up to A/L </t>
        </is>
      </c>
      <c r="M150" t="inlineStr">
        <is>
          <t>Western</t>
        </is>
      </c>
      <c r="N150" t="inlineStr">
        <is>
          <t>Single</t>
        </is>
      </c>
      <c r="P150" t="inlineStr">
        <is>
          <t>No</t>
        </is>
      </c>
      <c r="S150" t="inlineStr">
        <is>
          <t>At workplace</t>
        </is>
      </c>
      <c r="U150" t="inlineStr">
        <is>
          <t>Don’t know</t>
        </is>
      </c>
      <c r="V150" t="inlineStr">
        <is>
          <t>I don’t know</t>
        </is>
      </c>
      <c r="W150" t="n">
        <v>0</v>
      </c>
      <c r="X150" t="n">
        <v>0</v>
      </c>
      <c r="Y150" t="n">
        <v>0</v>
      </c>
      <c r="Z150" t="n">
        <v>1</v>
      </c>
      <c r="AA150" t="inlineStr">
        <is>
          <t>I don’t know</t>
        </is>
      </c>
      <c r="AB150" t="n">
        <v>0</v>
      </c>
      <c r="AC150" t="n">
        <v>0</v>
      </c>
      <c r="AD150" t="n">
        <v>0</v>
      </c>
      <c r="AE150" t="n">
        <v>1</v>
      </c>
      <c r="AF150" t="inlineStr">
        <is>
          <t>I don’t know</t>
        </is>
      </c>
      <c r="AG150" t="n">
        <v>0</v>
      </c>
      <c r="AH150" t="n">
        <v>0</v>
      </c>
      <c r="AI150" t="n">
        <v>0</v>
      </c>
      <c r="AJ150" t="n">
        <v>1</v>
      </c>
      <c r="AK150" t="inlineStr">
        <is>
          <t>Don’t know</t>
        </is>
      </c>
      <c r="AL150" t="inlineStr">
        <is>
          <t>Don’t know</t>
        </is>
      </c>
      <c r="AM150" t="inlineStr">
        <is>
          <t>Not sure</t>
        </is>
      </c>
      <c r="AN150" t="inlineStr">
        <is>
          <t>Don’t know</t>
        </is>
      </c>
      <c r="AO150" t="inlineStr">
        <is>
          <t>Don’t know</t>
        </is>
      </c>
      <c r="AP150" t="inlineStr">
        <is>
          <t>Don’t know</t>
        </is>
      </c>
      <c r="AQ150" t="inlineStr">
        <is>
          <t xml:space="preserve">Yes </t>
        </is>
      </c>
      <c r="AR150" t="inlineStr">
        <is>
          <t>Don’t know</t>
        </is>
      </c>
      <c r="BB150" t="inlineStr">
        <is>
          <t>I don’t know</t>
        </is>
      </c>
      <c r="BC150" t="n">
        <v>0</v>
      </c>
      <c r="BD150" t="n">
        <v>0</v>
      </c>
      <c r="BE150" t="n">
        <v>0</v>
      </c>
      <c r="BF150" t="n">
        <v>1</v>
      </c>
      <c r="BG150" t="inlineStr">
        <is>
          <t>Only found out after screening</t>
        </is>
      </c>
      <c r="BH150" t="inlineStr">
        <is>
          <t xml:space="preserve">Not sure </t>
        </is>
      </c>
      <c r="BI150" t="inlineStr">
        <is>
          <t>Not sure</t>
        </is>
      </c>
      <c r="BJ150" t="inlineStr">
        <is>
          <t xml:space="preserve">Not sure </t>
        </is>
      </c>
      <c r="BP150" t="inlineStr">
        <is>
          <t xml:space="preserve">Agree </t>
        </is>
      </c>
      <c r="BQ150" t="inlineStr">
        <is>
          <t xml:space="preserve">Yes </t>
        </is>
      </c>
      <c r="BS150" t="inlineStr">
        <is>
          <t>None</t>
        </is>
      </c>
      <c r="BT150" t="inlineStr">
        <is>
          <t>None</t>
        </is>
      </c>
      <c r="BU150" t="inlineStr">
        <is>
          <t>None</t>
        </is>
      </c>
      <c r="CD150" t="inlineStr">
        <is>
          <t>Not sure</t>
        </is>
      </c>
      <c r="CF150" t="n">
        <v>601063430</v>
      </c>
      <c r="CG150" t="inlineStr">
        <is>
          <t>290fe7cc-60b9-4d48-9e4f-ab81026a3de4</t>
        </is>
      </c>
      <c r="CH150" s="1" t="n">
        <v>45969.42599537037</v>
      </c>
      <c r="CK150" t="inlineStr">
        <is>
          <t>submitted_via_web</t>
        </is>
      </c>
      <c r="CM150" t="inlineStr">
        <is>
          <t>vteYUDpqfKnk39PHFZkvPS</t>
        </is>
      </c>
      <c r="CO150" t="inlineStr">
        <is>
          <t>uuid:290fe7cc-60b9-4d48-9e4f-ab81026a3de4</t>
        </is>
      </c>
      <c r="CP150" t="n">
        <v>149</v>
      </c>
      <c r="CQ150" t="n">
        <v>0</v>
      </c>
      <c r="CR150" t="n">
        <v>-1.487461702037489</v>
      </c>
    </row>
    <row r="151">
      <c r="A151" s="1" t="n">
        <v>45969.65515092592</v>
      </c>
      <c r="B151" s="1" t="n">
        <v>45969.66609989583</v>
      </c>
      <c r="D151" t="inlineStr">
        <is>
          <t>24</t>
        </is>
      </c>
      <c r="E151" t="inlineStr">
        <is>
          <t>Female</t>
        </is>
      </c>
      <c r="F151" t="inlineStr">
        <is>
          <t>Sinhalese</t>
        </is>
      </c>
      <c r="H151" t="inlineStr">
        <is>
          <t>Buddhist</t>
        </is>
      </c>
      <c r="J151" t="inlineStr">
        <is>
          <t>Not employed</t>
        </is>
      </c>
      <c r="L151" t="inlineStr">
        <is>
          <t xml:space="preserve">Undergraduate </t>
        </is>
      </c>
      <c r="M151" t="inlineStr">
        <is>
          <t xml:space="preserve">North Western </t>
        </is>
      </c>
      <c r="N151" t="inlineStr">
        <is>
          <t>Single</t>
        </is>
      </c>
      <c r="P151" t="inlineStr">
        <is>
          <t>No</t>
        </is>
      </c>
      <c r="S151" t="inlineStr">
        <is>
          <t xml:space="preserve">During school/university  </t>
        </is>
      </c>
      <c r="U151" t="inlineStr">
        <is>
          <t>Yes</t>
        </is>
      </c>
      <c r="V151" t="inlineStr">
        <is>
          <t>I don’t know</t>
        </is>
      </c>
      <c r="W151" t="n">
        <v>0</v>
      </c>
      <c r="X151" t="n">
        <v>0</v>
      </c>
      <c r="Y151" t="n">
        <v>0</v>
      </c>
      <c r="Z151" t="n">
        <v>1</v>
      </c>
      <c r="AA151" t="inlineStr">
        <is>
          <t>I don’t know</t>
        </is>
      </c>
      <c r="AB151" t="n">
        <v>0</v>
      </c>
      <c r="AC151" t="n">
        <v>0</v>
      </c>
      <c r="AD151" t="n">
        <v>0</v>
      </c>
      <c r="AE151" t="n">
        <v>1</v>
      </c>
      <c r="AF151" t="inlineStr">
        <is>
          <t>Thalassemia minor or trait (carrier form)</t>
        </is>
      </c>
      <c r="AG151" t="n">
        <v>0</v>
      </c>
      <c r="AH151" t="n">
        <v>1</v>
      </c>
      <c r="AI151" t="n">
        <v>0</v>
      </c>
      <c r="AJ151" t="n">
        <v>0</v>
      </c>
      <c r="AK151" t="inlineStr">
        <is>
          <t>Yes</t>
        </is>
      </c>
      <c r="AL151" t="inlineStr">
        <is>
          <t xml:space="preserve">Cannot be cured   </t>
        </is>
      </c>
      <c r="AM151" t="inlineStr">
        <is>
          <t xml:space="preserve">Can be prevented </t>
        </is>
      </c>
      <c r="AN151" t="inlineStr">
        <is>
          <t xml:space="preserve">From generation to generation (hereditary)  </t>
        </is>
      </c>
      <c r="AO151" t="inlineStr">
        <is>
          <t>Healthy</t>
        </is>
      </c>
      <c r="AP151" t="inlineStr">
        <is>
          <t>Always affected by thalassemia</t>
        </is>
      </c>
      <c r="AQ151" t="inlineStr">
        <is>
          <t xml:space="preserve">Yes </t>
        </is>
      </c>
      <c r="AR151" t="inlineStr">
        <is>
          <t>Don’t know</t>
        </is>
      </c>
      <c r="AS151" t="inlineStr">
        <is>
          <t xml:space="preserve">Regular blood transfusions for life </t>
        </is>
      </c>
      <c r="AT151" t="n">
        <v>1</v>
      </c>
      <c r="AU151" t="n">
        <v>0</v>
      </c>
      <c r="AV151" t="n">
        <v>0</v>
      </c>
      <c r="AW151" t="n">
        <v>0</v>
      </c>
      <c r="AX151" t="n">
        <v>0</v>
      </c>
      <c r="AY151" t="n">
        <v>0</v>
      </c>
      <c r="AZ151" t="n">
        <v>0</v>
      </c>
      <c r="BA151" t="n">
        <v>0</v>
      </c>
      <c r="BB151" t="inlineStr">
        <is>
          <t xml:space="preserve"> Get the partner tested before marriage   Get family members tested </t>
        </is>
      </c>
      <c r="BC151" t="n">
        <v>1</v>
      </c>
      <c r="BD151" t="n">
        <v>1</v>
      </c>
      <c r="BE151" t="n">
        <v>0</v>
      </c>
      <c r="BF151" t="n">
        <v>0</v>
      </c>
      <c r="BG151" t="inlineStr">
        <is>
          <t xml:space="preserve">Healthcare staff (doctors and nurses) </t>
        </is>
      </c>
      <c r="BH151" t="inlineStr">
        <is>
          <t>Definitely not</t>
        </is>
      </c>
      <c r="BI151" t="inlineStr">
        <is>
          <t xml:space="preserve">No </t>
        </is>
      </c>
      <c r="BJ151" t="inlineStr">
        <is>
          <t xml:space="preserve">Important </t>
        </is>
      </c>
      <c r="BP151" t="inlineStr">
        <is>
          <t xml:space="preserve">Agree </t>
        </is>
      </c>
      <c r="BQ151" t="inlineStr">
        <is>
          <t xml:space="preserve">Yes </t>
        </is>
      </c>
      <c r="BS151" t="inlineStr">
        <is>
          <t>All</t>
        </is>
      </c>
      <c r="BT151" t="inlineStr">
        <is>
          <t>None</t>
        </is>
      </c>
      <c r="BU151" t="inlineStr">
        <is>
          <t>None</t>
        </is>
      </c>
      <c r="CE151" t="inlineStr">
        <is>
          <t xml:space="preserve">Important </t>
        </is>
      </c>
      <c r="CF151" t="n">
        <v>601072002</v>
      </c>
      <c r="CG151" t="inlineStr">
        <is>
          <t>8efa26ed-979b-4e51-82a3-9cd9d35142cf</t>
        </is>
      </c>
      <c r="CH151" s="1" t="n">
        <v>45969.43695601852</v>
      </c>
      <c r="CK151" t="inlineStr">
        <is>
          <t>submitted_via_web</t>
        </is>
      </c>
      <c r="CM151" t="inlineStr">
        <is>
          <t>vteYUDpqfKnk39PHFZkvPS</t>
        </is>
      </c>
      <c r="CO151" t="inlineStr">
        <is>
          <t>uuid:8efa26ed-979b-4e51-82a3-9cd9d35142cf</t>
        </is>
      </c>
      <c r="CP151" t="n">
        <v>150</v>
      </c>
      <c r="CQ151" t="n">
        <v>1</v>
      </c>
      <c r="CR151" t="n">
        <v>-1.097148644453239</v>
      </c>
    </row>
    <row r="152">
      <c r="A152" s="1" t="n">
        <v>45969.78766363426</v>
      </c>
      <c r="B152" s="1" t="n">
        <v>45969.8006131713</v>
      </c>
      <c r="D152" t="inlineStr">
        <is>
          <t>25</t>
        </is>
      </c>
      <c r="E152" t="inlineStr">
        <is>
          <t>Female</t>
        </is>
      </c>
      <c r="F152" t="inlineStr">
        <is>
          <t>Sinhalese</t>
        </is>
      </c>
      <c r="H152" t="inlineStr">
        <is>
          <t>Buddhist</t>
        </is>
      </c>
      <c r="J152" t="inlineStr">
        <is>
          <t>Not employed</t>
        </is>
      </c>
      <c r="L152" t="inlineStr">
        <is>
          <t xml:space="preserve">Up to A/L </t>
        </is>
      </c>
      <c r="M152" t="inlineStr">
        <is>
          <t xml:space="preserve">North Western </t>
        </is>
      </c>
      <c r="N152" t="inlineStr">
        <is>
          <t>Single</t>
        </is>
      </c>
      <c r="P152" t="inlineStr">
        <is>
          <t>No</t>
        </is>
      </c>
      <c r="S152" t="inlineStr">
        <is>
          <t xml:space="preserve">During school/university  </t>
        </is>
      </c>
      <c r="U152" t="inlineStr">
        <is>
          <t>Yes</t>
        </is>
      </c>
      <c r="V152" t="inlineStr">
        <is>
          <t>Thalassemia major (severe form)   Thalassemia minor or trait (carrier form)</t>
        </is>
      </c>
      <c r="W152" t="n">
        <v>1</v>
      </c>
      <c r="X152" t="n">
        <v>1</v>
      </c>
      <c r="Y152" t="n">
        <v>0</v>
      </c>
      <c r="Z152" t="n">
        <v>0</v>
      </c>
      <c r="AA152" t="inlineStr">
        <is>
          <t xml:space="preserve">Thalassemia major (severe form)  </t>
        </is>
      </c>
      <c r="AB152" t="n">
        <v>1</v>
      </c>
      <c r="AC152" t="n">
        <v>0</v>
      </c>
      <c r="AD152" t="n">
        <v>0</v>
      </c>
      <c r="AE152" t="n">
        <v>0</v>
      </c>
      <c r="AF152" t="inlineStr">
        <is>
          <t>Thalassemia minor or trait (carrier form)</t>
        </is>
      </c>
      <c r="AG152" t="n">
        <v>0</v>
      </c>
      <c r="AH152" t="n">
        <v>1</v>
      </c>
      <c r="AI152" t="n">
        <v>0</v>
      </c>
      <c r="AJ152" t="n">
        <v>0</v>
      </c>
      <c r="AK152" t="inlineStr">
        <is>
          <t>Yes</t>
        </is>
      </c>
      <c r="AL152" t="inlineStr">
        <is>
          <t xml:space="preserve">Cannot be cured   </t>
        </is>
      </c>
      <c r="AM152" t="inlineStr">
        <is>
          <t xml:space="preserve">Can be prevented </t>
        </is>
      </c>
      <c r="AN152" t="inlineStr">
        <is>
          <t xml:space="preserve">From generation to generation (hereditary)  </t>
        </is>
      </c>
      <c r="AO152" t="inlineStr">
        <is>
          <t>Healthy</t>
        </is>
      </c>
      <c r="AP152" t="inlineStr">
        <is>
          <t>Always affected by thalassemia</t>
        </is>
      </c>
      <c r="AQ152" t="inlineStr">
        <is>
          <t xml:space="preserve">Yes </t>
        </is>
      </c>
      <c r="AR152" t="inlineStr">
        <is>
          <t>Don’t know</t>
        </is>
      </c>
      <c r="AS152" t="inlineStr">
        <is>
          <t xml:space="preserve">Regular blood transfusions for life </t>
        </is>
      </c>
      <c r="AT152" t="n">
        <v>1</v>
      </c>
      <c r="AU152" t="n">
        <v>0</v>
      </c>
      <c r="AV152" t="n">
        <v>0</v>
      </c>
      <c r="AW152" t="n">
        <v>0</v>
      </c>
      <c r="AX152" t="n">
        <v>0</v>
      </c>
      <c r="AY152" t="n">
        <v>0</v>
      </c>
      <c r="AZ152" t="n">
        <v>0</v>
      </c>
      <c r="BA152" t="n">
        <v>0</v>
      </c>
      <c r="BB152" t="inlineStr">
        <is>
          <t xml:space="preserve"> Get the partner tested before marriage  </t>
        </is>
      </c>
      <c r="BC152" t="n">
        <v>1</v>
      </c>
      <c r="BD152" t="n">
        <v>0</v>
      </c>
      <c r="BE152" t="n">
        <v>0</v>
      </c>
      <c r="BF152" t="n">
        <v>0</v>
      </c>
      <c r="BG152" t="inlineStr">
        <is>
          <t>Only found out after screening</t>
        </is>
      </c>
      <c r="BH152" t="inlineStr">
        <is>
          <t>Definitely not</t>
        </is>
      </c>
      <c r="BI152" t="inlineStr">
        <is>
          <t>Not sure</t>
        </is>
      </c>
      <c r="BJ152" t="inlineStr">
        <is>
          <t xml:space="preserve">Important </t>
        </is>
      </c>
      <c r="BP152" t="inlineStr">
        <is>
          <t xml:space="preserve">Agree </t>
        </is>
      </c>
      <c r="BQ152" t="inlineStr">
        <is>
          <t xml:space="preserve">Yes </t>
        </is>
      </c>
      <c r="BS152" t="inlineStr">
        <is>
          <t>All</t>
        </is>
      </c>
      <c r="BT152" t="inlineStr">
        <is>
          <t>None</t>
        </is>
      </c>
      <c r="BU152" t="inlineStr">
        <is>
          <t>None</t>
        </is>
      </c>
      <c r="CE152" t="inlineStr">
        <is>
          <t xml:space="preserve">Important </t>
        </is>
      </c>
      <c r="CF152" t="n">
        <v>601165164</v>
      </c>
      <c r="CG152" t="inlineStr">
        <is>
          <t>638931d0-e57a-4a9a-afc9-961f8f9f1141</t>
        </is>
      </c>
      <c r="CH152" s="1" t="n">
        <v>45969.57146990741</v>
      </c>
      <c r="CK152" t="inlineStr">
        <is>
          <t>submitted_via_web</t>
        </is>
      </c>
      <c r="CM152" t="inlineStr">
        <is>
          <t>vteYUDpqfKnk39PHFZkvPS</t>
        </is>
      </c>
      <c r="CO152" t="inlineStr">
        <is>
          <t>uuid:638931d0-e57a-4a9a-afc9-961f8f9f1141</t>
        </is>
      </c>
      <c r="CP152" t="n">
        <v>151</v>
      </c>
      <c r="CQ152" t="n">
        <v>3</v>
      </c>
      <c r="CR152" t="n">
        <v>-0.3165225292847399</v>
      </c>
    </row>
    <row r="153">
      <c r="A153" s="1" t="n">
        <v>45969.80061427083</v>
      </c>
      <c r="B153" s="1" t="n">
        <v>45969.80179892361</v>
      </c>
      <c r="D153" t="inlineStr">
        <is>
          <t>25</t>
        </is>
      </c>
      <c r="E153" t="inlineStr">
        <is>
          <t>Female</t>
        </is>
      </c>
      <c r="F153" t="inlineStr">
        <is>
          <t>Sinhalese</t>
        </is>
      </c>
      <c r="H153" t="inlineStr">
        <is>
          <t>Buddhist</t>
        </is>
      </c>
      <c r="J153" t="inlineStr">
        <is>
          <t>Not employed</t>
        </is>
      </c>
      <c r="L153" t="inlineStr">
        <is>
          <t xml:space="preserve">Up to A/L </t>
        </is>
      </c>
      <c r="M153" t="inlineStr">
        <is>
          <t xml:space="preserve">North Western </t>
        </is>
      </c>
      <c r="N153" t="inlineStr">
        <is>
          <t>Single</t>
        </is>
      </c>
      <c r="P153" t="inlineStr">
        <is>
          <t>No</t>
        </is>
      </c>
      <c r="S153" t="inlineStr">
        <is>
          <t xml:space="preserve">During school/university  </t>
        </is>
      </c>
      <c r="U153" t="inlineStr">
        <is>
          <t>Yes</t>
        </is>
      </c>
      <c r="V153" t="inlineStr">
        <is>
          <t>Thalassemia major (severe form)   Thalassemia minor or trait (carrier form)</t>
        </is>
      </c>
      <c r="W153" t="n">
        <v>1</v>
      </c>
      <c r="X153" t="n">
        <v>1</v>
      </c>
      <c r="Y153" t="n">
        <v>0</v>
      </c>
      <c r="Z153" t="n">
        <v>0</v>
      </c>
      <c r="AA153" t="inlineStr">
        <is>
          <t xml:space="preserve">Thalassemia major (severe form)  </t>
        </is>
      </c>
      <c r="AB153" t="n">
        <v>1</v>
      </c>
      <c r="AC153" t="n">
        <v>0</v>
      </c>
      <c r="AD153" t="n">
        <v>0</v>
      </c>
      <c r="AE153" t="n">
        <v>0</v>
      </c>
      <c r="AF153" t="inlineStr">
        <is>
          <t>Thalassemia minor or trait (carrier form)</t>
        </is>
      </c>
      <c r="AG153" t="n">
        <v>0</v>
      </c>
      <c r="AH153" t="n">
        <v>1</v>
      </c>
      <c r="AI153" t="n">
        <v>0</v>
      </c>
      <c r="AJ153" t="n">
        <v>0</v>
      </c>
      <c r="AK153" t="inlineStr">
        <is>
          <t>Yes</t>
        </is>
      </c>
      <c r="AL153" t="inlineStr">
        <is>
          <t xml:space="preserve">Cannot be cured   </t>
        </is>
      </c>
      <c r="AM153" t="inlineStr">
        <is>
          <t xml:space="preserve">Can be prevented </t>
        </is>
      </c>
      <c r="AN153" t="inlineStr">
        <is>
          <t xml:space="preserve">From generation to generation (hereditary)  </t>
        </is>
      </c>
      <c r="AO153" t="inlineStr">
        <is>
          <t>Healthy</t>
        </is>
      </c>
      <c r="AP153" t="inlineStr">
        <is>
          <t>Always affected by thalassemia</t>
        </is>
      </c>
      <c r="AQ153" t="inlineStr">
        <is>
          <t xml:space="preserve">Yes </t>
        </is>
      </c>
      <c r="AR153" t="inlineStr">
        <is>
          <t>Don’t know</t>
        </is>
      </c>
      <c r="AS153" t="inlineStr">
        <is>
          <t xml:space="preserve">Regular blood transfusions for life </t>
        </is>
      </c>
      <c r="AT153" t="n">
        <v>1</v>
      </c>
      <c r="AU153" t="n">
        <v>0</v>
      </c>
      <c r="AV153" t="n">
        <v>0</v>
      </c>
      <c r="AW153" t="n">
        <v>0</v>
      </c>
      <c r="AX153" t="n">
        <v>0</v>
      </c>
      <c r="AY153" t="n">
        <v>0</v>
      </c>
      <c r="AZ153" t="n">
        <v>0</v>
      </c>
      <c r="BA153" t="n">
        <v>0</v>
      </c>
      <c r="BB153" t="inlineStr">
        <is>
          <t xml:space="preserve"> Get the partner tested before marriage  </t>
        </is>
      </c>
      <c r="BC153" t="n">
        <v>1</v>
      </c>
      <c r="BD153" t="n">
        <v>0</v>
      </c>
      <c r="BE153" t="n">
        <v>0</v>
      </c>
      <c r="BF153" t="n">
        <v>0</v>
      </c>
      <c r="BG153" t="inlineStr">
        <is>
          <t>Only found out after screening</t>
        </is>
      </c>
      <c r="BH153" t="inlineStr">
        <is>
          <t>Definitely not</t>
        </is>
      </c>
      <c r="BI153" t="inlineStr">
        <is>
          <t>Not sure</t>
        </is>
      </c>
      <c r="BJ153" t="inlineStr">
        <is>
          <t xml:space="preserve">Important </t>
        </is>
      </c>
      <c r="BP153" t="inlineStr">
        <is>
          <t xml:space="preserve">Agree </t>
        </is>
      </c>
      <c r="BQ153" t="inlineStr">
        <is>
          <t xml:space="preserve">Yes </t>
        </is>
      </c>
      <c r="BS153" t="inlineStr">
        <is>
          <t>Some</t>
        </is>
      </c>
      <c r="BT153" t="inlineStr">
        <is>
          <t>None</t>
        </is>
      </c>
      <c r="BU153" t="inlineStr">
        <is>
          <t>None</t>
        </is>
      </c>
      <c r="BV153" t="inlineStr">
        <is>
          <t xml:space="preserve">Lack of knowledge </t>
        </is>
      </c>
      <c r="BW153" t="n">
        <v>1</v>
      </c>
      <c r="BX153" t="n">
        <v>0</v>
      </c>
      <c r="BY153" t="n">
        <v>0</v>
      </c>
      <c r="BZ153" t="n">
        <v>0</v>
      </c>
      <c r="CA153" t="n">
        <v>0</v>
      </c>
      <c r="CB153" t="n">
        <v>0</v>
      </c>
      <c r="CE153" t="inlineStr">
        <is>
          <t xml:space="preserve">Important </t>
        </is>
      </c>
      <c r="CF153" t="n">
        <v>601166074</v>
      </c>
      <c r="CG153" t="inlineStr">
        <is>
          <t>c08c0005-3a39-4ccf-baa2-5384fc7fe53b</t>
        </is>
      </c>
      <c r="CH153" s="1" t="n">
        <v>45969.57263888889</v>
      </c>
      <c r="CK153" t="inlineStr">
        <is>
          <t>submitted_via_web</t>
        </is>
      </c>
      <c r="CM153" t="inlineStr">
        <is>
          <t>vteYUDpqfKnk39PHFZkvPS</t>
        </is>
      </c>
      <c r="CO153" t="inlineStr">
        <is>
          <t>uuid:c08c0005-3a39-4ccf-baa2-5384fc7fe53b</t>
        </is>
      </c>
      <c r="CP153" t="n">
        <v>152</v>
      </c>
      <c r="CQ153" t="n">
        <v>3</v>
      </c>
      <c r="CR153" t="n">
        <v>-0.3165225292847399</v>
      </c>
    </row>
    <row r="154">
      <c r="A154" s="1" t="n">
        <v>45969.80179966435</v>
      </c>
      <c r="B154" s="1" t="n">
        <v>45969.80359373843</v>
      </c>
      <c r="D154" t="inlineStr">
        <is>
          <t>26</t>
        </is>
      </c>
      <c r="E154" t="inlineStr">
        <is>
          <t xml:space="preserve">Male </t>
        </is>
      </c>
      <c r="F154" t="inlineStr">
        <is>
          <t>Sinhalese</t>
        </is>
      </c>
      <c r="H154" t="inlineStr">
        <is>
          <t>Buddhist</t>
        </is>
      </c>
      <c r="J154" t="inlineStr">
        <is>
          <t>Private sector</t>
        </is>
      </c>
      <c r="K154" t="inlineStr">
        <is>
          <t>25,000 – 50,000</t>
        </is>
      </c>
      <c r="L154" t="inlineStr">
        <is>
          <t xml:space="preserve">Up to A/L </t>
        </is>
      </c>
      <c r="M154" t="inlineStr">
        <is>
          <t xml:space="preserve">North Western </t>
        </is>
      </c>
      <c r="N154" t="inlineStr">
        <is>
          <t>Single</t>
        </is>
      </c>
      <c r="P154" t="inlineStr">
        <is>
          <t>No</t>
        </is>
      </c>
      <c r="S154" t="inlineStr">
        <is>
          <t>At workplace</t>
        </is>
      </c>
      <c r="U154" t="inlineStr">
        <is>
          <t>Yes</t>
        </is>
      </c>
      <c r="V154" t="inlineStr">
        <is>
          <t>I don’t know</t>
        </is>
      </c>
      <c r="W154" t="n">
        <v>0</v>
      </c>
      <c r="X154" t="n">
        <v>0</v>
      </c>
      <c r="Y154" t="n">
        <v>0</v>
      </c>
      <c r="Z154" t="n">
        <v>1</v>
      </c>
      <c r="AA154" t="inlineStr">
        <is>
          <t>I don’t know</t>
        </is>
      </c>
      <c r="AB154" t="n">
        <v>0</v>
      </c>
      <c r="AC154" t="n">
        <v>0</v>
      </c>
      <c r="AD154" t="n">
        <v>0</v>
      </c>
      <c r="AE154" t="n">
        <v>1</v>
      </c>
      <c r="AF154" t="inlineStr">
        <is>
          <t>Thalassemia minor or trait (carrier form)</t>
        </is>
      </c>
      <c r="AG154" t="n">
        <v>0</v>
      </c>
      <c r="AH154" t="n">
        <v>1</v>
      </c>
      <c r="AI154" t="n">
        <v>0</v>
      </c>
      <c r="AJ154" t="n">
        <v>0</v>
      </c>
      <c r="AK154" t="inlineStr">
        <is>
          <t>Yes</t>
        </is>
      </c>
      <c r="AL154" t="inlineStr">
        <is>
          <t xml:space="preserve">Cannot be cured   </t>
        </is>
      </c>
      <c r="AM154" t="inlineStr">
        <is>
          <t xml:space="preserve">Can be prevented </t>
        </is>
      </c>
      <c r="AN154" t="inlineStr">
        <is>
          <t xml:space="preserve">From generation to generation (hereditary)  </t>
        </is>
      </c>
      <c r="AO154" t="inlineStr">
        <is>
          <t>Healthy</t>
        </is>
      </c>
      <c r="AP154" t="inlineStr">
        <is>
          <t>Always affected by thalassemia</t>
        </is>
      </c>
      <c r="AQ154" t="inlineStr">
        <is>
          <t xml:space="preserve">Yes </t>
        </is>
      </c>
      <c r="AR154" t="inlineStr">
        <is>
          <t>Don’t know</t>
        </is>
      </c>
      <c r="AS154" t="inlineStr">
        <is>
          <t xml:space="preserve">Regular blood transfusions for life </t>
        </is>
      </c>
      <c r="AT154" t="n">
        <v>1</v>
      </c>
      <c r="AU154" t="n">
        <v>0</v>
      </c>
      <c r="AV154" t="n">
        <v>0</v>
      </c>
      <c r="AW154" t="n">
        <v>0</v>
      </c>
      <c r="AX154" t="n">
        <v>0</v>
      </c>
      <c r="AY154" t="n">
        <v>0</v>
      </c>
      <c r="AZ154" t="n">
        <v>0</v>
      </c>
      <c r="BA154" t="n">
        <v>0</v>
      </c>
      <c r="BB154" t="inlineStr">
        <is>
          <t xml:space="preserve"> Get the partner tested before marriage  </t>
        </is>
      </c>
      <c r="BC154" t="n">
        <v>1</v>
      </c>
      <c r="BD154" t="n">
        <v>0</v>
      </c>
      <c r="BE154" t="n">
        <v>0</v>
      </c>
      <c r="BF154" t="n">
        <v>0</v>
      </c>
      <c r="BG154" t="inlineStr">
        <is>
          <t>Only found out after screening</t>
        </is>
      </c>
      <c r="BH154" t="inlineStr">
        <is>
          <t>Definitely not</t>
        </is>
      </c>
      <c r="BI154" t="inlineStr">
        <is>
          <t>Not sure</t>
        </is>
      </c>
      <c r="BJ154" t="inlineStr">
        <is>
          <t xml:space="preserve">Important </t>
        </is>
      </c>
      <c r="BP154" t="inlineStr">
        <is>
          <t xml:space="preserve">Agree </t>
        </is>
      </c>
      <c r="BQ154" t="inlineStr">
        <is>
          <t xml:space="preserve">Yes </t>
        </is>
      </c>
      <c r="BS154" t="inlineStr">
        <is>
          <t>All</t>
        </is>
      </c>
      <c r="BT154" t="inlineStr">
        <is>
          <t>None</t>
        </is>
      </c>
      <c r="BU154" t="inlineStr">
        <is>
          <t>None</t>
        </is>
      </c>
      <c r="CD154" t="inlineStr">
        <is>
          <t xml:space="preserve">Difficult </t>
        </is>
      </c>
      <c r="CE154" t="inlineStr">
        <is>
          <t xml:space="preserve">Important </t>
        </is>
      </c>
      <c r="CF154" t="n">
        <v>601167522</v>
      </c>
      <c r="CG154" t="inlineStr">
        <is>
          <t>9651dff7-868c-4425-99a0-a2c819053546</t>
        </is>
      </c>
      <c r="CH154" s="1" t="n">
        <v>45969.57444444444</v>
      </c>
      <c r="CK154" t="inlineStr">
        <is>
          <t>submitted_via_web</t>
        </is>
      </c>
      <c r="CM154" t="inlineStr">
        <is>
          <t>vteYUDpqfKnk39PHFZkvPS</t>
        </is>
      </c>
      <c r="CO154" t="inlineStr">
        <is>
          <t>uuid:9651dff7-868c-4425-99a0-a2c819053546</t>
        </is>
      </c>
      <c r="CP154" t="n">
        <v>153</v>
      </c>
      <c r="CQ154" t="n">
        <v>1</v>
      </c>
      <c r="CR154" t="n">
        <v>-1.097148644453239</v>
      </c>
    </row>
    <row r="155">
      <c r="A155" s="1" t="n">
        <v>45969.80359443287</v>
      </c>
      <c r="B155" s="1" t="n">
        <v>45969.80475456019</v>
      </c>
      <c r="D155" t="inlineStr">
        <is>
          <t>28</t>
        </is>
      </c>
      <c r="E155" t="inlineStr">
        <is>
          <t xml:space="preserve">Male </t>
        </is>
      </c>
      <c r="F155" t="inlineStr">
        <is>
          <t>Sinhalese</t>
        </is>
      </c>
      <c r="H155" t="inlineStr">
        <is>
          <t>Buddhist</t>
        </is>
      </c>
      <c r="J155" t="inlineStr">
        <is>
          <t>Government sector</t>
        </is>
      </c>
      <c r="K155" t="inlineStr">
        <is>
          <t>25,000 – 50,000</t>
        </is>
      </c>
      <c r="L155" t="inlineStr">
        <is>
          <t xml:space="preserve">Up to A/L </t>
        </is>
      </c>
      <c r="M155" t="inlineStr">
        <is>
          <t xml:space="preserve">North Western </t>
        </is>
      </c>
      <c r="N155" t="inlineStr">
        <is>
          <t>Single</t>
        </is>
      </c>
      <c r="P155" t="inlineStr">
        <is>
          <t>No</t>
        </is>
      </c>
      <c r="S155" t="inlineStr">
        <is>
          <t>At workplace</t>
        </is>
      </c>
      <c r="U155" t="inlineStr">
        <is>
          <t>Yes</t>
        </is>
      </c>
      <c r="V155" t="inlineStr">
        <is>
          <t>I don’t know</t>
        </is>
      </c>
      <c r="W155" t="n">
        <v>0</v>
      </c>
      <c r="X155" t="n">
        <v>0</v>
      </c>
      <c r="Y155" t="n">
        <v>0</v>
      </c>
      <c r="Z155" t="n">
        <v>1</v>
      </c>
      <c r="AA155" t="inlineStr">
        <is>
          <t>I don’t know</t>
        </is>
      </c>
      <c r="AB155" t="n">
        <v>0</v>
      </c>
      <c r="AC155" t="n">
        <v>0</v>
      </c>
      <c r="AD155" t="n">
        <v>0</v>
      </c>
      <c r="AE155" t="n">
        <v>1</v>
      </c>
      <c r="AF155" t="inlineStr">
        <is>
          <t>Thalassemia minor or trait (carrier form)</t>
        </is>
      </c>
      <c r="AG155" t="n">
        <v>0</v>
      </c>
      <c r="AH155" t="n">
        <v>1</v>
      </c>
      <c r="AI155" t="n">
        <v>0</v>
      </c>
      <c r="AJ155" t="n">
        <v>0</v>
      </c>
      <c r="AK155" t="inlineStr">
        <is>
          <t>Yes</t>
        </is>
      </c>
      <c r="AL155" t="inlineStr">
        <is>
          <t xml:space="preserve">Cannot be cured   </t>
        </is>
      </c>
      <c r="AM155" t="inlineStr">
        <is>
          <t xml:space="preserve">Can be prevented </t>
        </is>
      </c>
      <c r="AN155" t="inlineStr">
        <is>
          <t xml:space="preserve">From generation to generation (hereditary)  </t>
        </is>
      </c>
      <c r="AO155" t="inlineStr">
        <is>
          <t>Healthy</t>
        </is>
      </c>
      <c r="AP155" t="inlineStr">
        <is>
          <t>Always affected by thalassemia</t>
        </is>
      </c>
      <c r="AQ155" t="inlineStr">
        <is>
          <t xml:space="preserve">Yes </t>
        </is>
      </c>
      <c r="AR155" t="inlineStr">
        <is>
          <t>Don’t know</t>
        </is>
      </c>
      <c r="AS155" t="inlineStr">
        <is>
          <t xml:space="preserve">Regular blood transfusions for life </t>
        </is>
      </c>
      <c r="AT155" t="n">
        <v>1</v>
      </c>
      <c r="AU155" t="n">
        <v>0</v>
      </c>
      <c r="AV155" t="n">
        <v>0</v>
      </c>
      <c r="AW155" t="n">
        <v>0</v>
      </c>
      <c r="AX155" t="n">
        <v>0</v>
      </c>
      <c r="AY155" t="n">
        <v>0</v>
      </c>
      <c r="AZ155" t="n">
        <v>0</v>
      </c>
      <c r="BA155" t="n">
        <v>0</v>
      </c>
      <c r="BB155" t="inlineStr">
        <is>
          <t xml:space="preserve"> Get the partner tested before marriage  </t>
        </is>
      </c>
      <c r="BC155" t="n">
        <v>1</v>
      </c>
      <c r="BD155" t="n">
        <v>0</v>
      </c>
      <c r="BE155" t="n">
        <v>0</v>
      </c>
      <c r="BF155" t="n">
        <v>0</v>
      </c>
      <c r="BG155" t="inlineStr">
        <is>
          <t>Only found out after screening</t>
        </is>
      </c>
      <c r="BH155" t="inlineStr">
        <is>
          <t>Definitely not</t>
        </is>
      </c>
      <c r="BI155" t="inlineStr">
        <is>
          <t>Not sure</t>
        </is>
      </c>
      <c r="BJ155" t="inlineStr">
        <is>
          <t xml:space="preserve">Important </t>
        </is>
      </c>
      <c r="BP155" t="inlineStr">
        <is>
          <t xml:space="preserve">Agree </t>
        </is>
      </c>
      <c r="BQ155" t="inlineStr">
        <is>
          <t xml:space="preserve">Yes </t>
        </is>
      </c>
      <c r="BS155" t="inlineStr">
        <is>
          <t>Some</t>
        </is>
      </c>
      <c r="BT155" t="inlineStr">
        <is>
          <t>None</t>
        </is>
      </c>
      <c r="BU155" t="inlineStr">
        <is>
          <t>None</t>
        </is>
      </c>
      <c r="CE155" t="inlineStr">
        <is>
          <t xml:space="preserve">Important </t>
        </is>
      </c>
      <c r="CF155" t="n">
        <v>601168155</v>
      </c>
      <c r="CG155" t="inlineStr">
        <is>
          <t>73ab14c1-89d4-4945-8bf6-4cbcaf7fe6e1</t>
        </is>
      </c>
      <c r="CH155" s="1" t="n">
        <v>45969.57560185185</v>
      </c>
      <c r="CK155" t="inlineStr">
        <is>
          <t>submitted_via_web</t>
        </is>
      </c>
      <c r="CM155" t="inlineStr">
        <is>
          <t>vteYUDpqfKnk39PHFZkvPS</t>
        </is>
      </c>
      <c r="CO155" t="inlineStr">
        <is>
          <t>uuid:73ab14c1-89d4-4945-8bf6-4cbcaf7fe6e1</t>
        </is>
      </c>
      <c r="CP155" t="n">
        <v>154</v>
      </c>
      <c r="CQ155" t="n">
        <v>1</v>
      </c>
      <c r="CR155" t="n">
        <v>-1.097148644453239</v>
      </c>
    </row>
    <row r="156">
      <c r="A156" s="1" t="n">
        <v>45969.80475517361</v>
      </c>
      <c r="B156" s="1" t="n">
        <v>45969.81164585648</v>
      </c>
      <c r="D156" t="inlineStr">
        <is>
          <t>19</t>
        </is>
      </c>
      <c r="E156" t="inlineStr">
        <is>
          <t>Female</t>
        </is>
      </c>
      <c r="F156" t="inlineStr">
        <is>
          <t>Sinhalese</t>
        </is>
      </c>
      <c r="H156" t="inlineStr">
        <is>
          <t>Buddhist</t>
        </is>
      </c>
      <c r="J156" t="inlineStr">
        <is>
          <t>Not employed</t>
        </is>
      </c>
      <c r="L156" t="inlineStr">
        <is>
          <t xml:space="preserve">Up to A/L </t>
        </is>
      </c>
      <c r="M156" t="inlineStr">
        <is>
          <t>Western</t>
        </is>
      </c>
      <c r="N156" t="inlineStr">
        <is>
          <t>Single</t>
        </is>
      </c>
      <c r="P156" t="inlineStr">
        <is>
          <t>No</t>
        </is>
      </c>
      <c r="S156" t="inlineStr">
        <is>
          <t>Individual or family screening after a relative was diagnosed</t>
        </is>
      </c>
      <c r="U156" t="inlineStr">
        <is>
          <t>Yes</t>
        </is>
      </c>
      <c r="V156" t="inlineStr">
        <is>
          <t>I don’t know</t>
        </is>
      </c>
      <c r="W156" t="n">
        <v>0</v>
      </c>
      <c r="X156" t="n">
        <v>0</v>
      </c>
      <c r="Y156" t="n">
        <v>0</v>
      </c>
      <c r="Z156" t="n">
        <v>1</v>
      </c>
      <c r="AA156" t="inlineStr">
        <is>
          <t>I don’t know</t>
        </is>
      </c>
      <c r="AB156" t="n">
        <v>0</v>
      </c>
      <c r="AC156" t="n">
        <v>0</v>
      </c>
      <c r="AD156" t="n">
        <v>0</v>
      </c>
      <c r="AE156" t="n">
        <v>1</v>
      </c>
      <c r="AF156" t="inlineStr">
        <is>
          <t>Thalassemia minor or trait (carrier form)</t>
        </is>
      </c>
      <c r="AG156" t="n">
        <v>0</v>
      </c>
      <c r="AH156" t="n">
        <v>1</v>
      </c>
      <c r="AI156" t="n">
        <v>0</v>
      </c>
      <c r="AJ156" t="n">
        <v>0</v>
      </c>
      <c r="AK156" t="inlineStr">
        <is>
          <t>Yes</t>
        </is>
      </c>
      <c r="AL156" t="inlineStr">
        <is>
          <t>Don’t know</t>
        </is>
      </c>
      <c r="AM156" t="inlineStr">
        <is>
          <t>Not sure</t>
        </is>
      </c>
      <c r="AN156" t="inlineStr">
        <is>
          <t>Don’t know</t>
        </is>
      </c>
      <c r="AO156" t="inlineStr">
        <is>
          <t>Healthy</t>
        </is>
      </c>
      <c r="AP156" t="inlineStr">
        <is>
          <t>Always affected by thalassemia</t>
        </is>
      </c>
      <c r="AQ156" t="inlineStr">
        <is>
          <t xml:space="preserve">Yes </t>
        </is>
      </c>
      <c r="AR156" t="inlineStr">
        <is>
          <t>Don’t know</t>
        </is>
      </c>
      <c r="AS156" t="inlineStr">
        <is>
          <t xml:space="preserve">Regular blood transfusions for life </t>
        </is>
      </c>
      <c r="AT156" t="n">
        <v>1</v>
      </c>
      <c r="AU156" t="n">
        <v>0</v>
      </c>
      <c r="AV156" t="n">
        <v>0</v>
      </c>
      <c r="AW156" t="n">
        <v>0</v>
      </c>
      <c r="AX156" t="n">
        <v>0</v>
      </c>
      <c r="AY156" t="n">
        <v>0</v>
      </c>
      <c r="AZ156" t="n">
        <v>0</v>
      </c>
      <c r="BA156" t="n">
        <v>0</v>
      </c>
      <c r="BB156" t="inlineStr">
        <is>
          <t xml:space="preserve"> Get the partner tested before marriage  </t>
        </is>
      </c>
      <c r="BC156" t="n">
        <v>1</v>
      </c>
      <c r="BD156" t="n">
        <v>0</v>
      </c>
      <c r="BE156" t="n">
        <v>0</v>
      </c>
      <c r="BF156" t="n">
        <v>0</v>
      </c>
      <c r="BG156" t="inlineStr">
        <is>
          <t>Only found out after screening</t>
        </is>
      </c>
      <c r="BH156" t="inlineStr">
        <is>
          <t xml:space="preserve">Not sure </t>
        </is>
      </c>
      <c r="BI156" t="inlineStr">
        <is>
          <t>Not sure</t>
        </is>
      </c>
      <c r="BJ156" t="inlineStr">
        <is>
          <t xml:space="preserve">Not sure </t>
        </is>
      </c>
      <c r="BP156" t="inlineStr">
        <is>
          <t xml:space="preserve">Agree </t>
        </is>
      </c>
      <c r="BQ156" t="inlineStr">
        <is>
          <t xml:space="preserve">Yes </t>
        </is>
      </c>
      <c r="BS156" t="inlineStr">
        <is>
          <t>All</t>
        </is>
      </c>
      <c r="BT156" t="inlineStr">
        <is>
          <t>None</t>
        </is>
      </c>
      <c r="BU156" t="inlineStr">
        <is>
          <t>None</t>
        </is>
      </c>
      <c r="BV156" t="inlineStr">
        <is>
          <t xml:space="preserve">Lack of knowledge </t>
        </is>
      </c>
      <c r="BW156" t="n">
        <v>1</v>
      </c>
      <c r="BX156" t="n">
        <v>0</v>
      </c>
      <c r="BY156" t="n">
        <v>0</v>
      </c>
      <c r="BZ156" t="n">
        <v>0</v>
      </c>
      <c r="CA156" t="n">
        <v>0</v>
      </c>
      <c r="CB156" t="n">
        <v>0</v>
      </c>
      <c r="CD156" t="inlineStr">
        <is>
          <t>Not sure</t>
        </is>
      </c>
      <c r="CE156" t="inlineStr">
        <is>
          <t xml:space="preserve">Important </t>
        </is>
      </c>
      <c r="CF156" t="n">
        <v>601172235</v>
      </c>
      <c r="CG156" t="inlineStr">
        <is>
          <t>3874dc9e-0558-4744-8627-f71009a79bd8</t>
        </is>
      </c>
      <c r="CH156" s="1" t="n">
        <v>45969.5825</v>
      </c>
      <c r="CK156" t="inlineStr">
        <is>
          <t>submitted_via_web</t>
        </is>
      </c>
      <c r="CM156" t="inlineStr">
        <is>
          <t>vteYUDpqfKnk39PHFZkvPS</t>
        </is>
      </c>
      <c r="CO156" t="inlineStr">
        <is>
          <t>uuid:3874dc9e-0558-4744-8627-f71009a79bd8</t>
        </is>
      </c>
      <c r="CP156" t="n">
        <v>155</v>
      </c>
      <c r="CQ156" t="n">
        <v>1</v>
      </c>
      <c r="CR156" t="n">
        <v>-1.097148644453239</v>
      </c>
    </row>
    <row r="157">
      <c r="A157" s="1" t="n">
        <v>45969.90836509259</v>
      </c>
      <c r="B157" s="1" t="n">
        <v>45969.91180510417</v>
      </c>
      <c r="D157" t="inlineStr">
        <is>
          <t>25</t>
        </is>
      </c>
      <c r="E157" t="inlineStr">
        <is>
          <t>Female</t>
        </is>
      </c>
      <c r="F157" t="inlineStr">
        <is>
          <t>Sinhalese</t>
        </is>
      </c>
      <c r="H157" t="inlineStr">
        <is>
          <t>Buddhist</t>
        </is>
      </c>
      <c r="J157" t="inlineStr">
        <is>
          <t>Private sector</t>
        </is>
      </c>
      <c r="K157" t="inlineStr">
        <is>
          <t>51,000 – 100,000</t>
        </is>
      </c>
      <c r="L157" t="inlineStr">
        <is>
          <t xml:space="preserve">Graduate </t>
        </is>
      </c>
      <c r="M157" t="inlineStr">
        <is>
          <t>Western</t>
        </is>
      </c>
      <c r="N157" t="inlineStr">
        <is>
          <t>Single</t>
        </is>
      </c>
      <c r="P157" t="inlineStr">
        <is>
          <t>No</t>
        </is>
      </c>
      <c r="S157" t="inlineStr">
        <is>
          <t>At workplace</t>
        </is>
      </c>
      <c r="U157" t="inlineStr">
        <is>
          <t>Don’t know</t>
        </is>
      </c>
      <c r="V157" t="inlineStr">
        <is>
          <t>I don’t know</t>
        </is>
      </c>
      <c r="W157" t="n">
        <v>0</v>
      </c>
      <c r="X157" t="n">
        <v>0</v>
      </c>
      <c r="Y157" t="n">
        <v>0</v>
      </c>
      <c r="Z157" t="n">
        <v>1</v>
      </c>
      <c r="AA157" t="inlineStr">
        <is>
          <t>I don’t know</t>
        </is>
      </c>
      <c r="AB157" t="n">
        <v>0</v>
      </c>
      <c r="AC157" t="n">
        <v>0</v>
      </c>
      <c r="AD157" t="n">
        <v>0</v>
      </c>
      <c r="AE157" t="n">
        <v>1</v>
      </c>
      <c r="AF157" t="inlineStr">
        <is>
          <t>I don’t know</t>
        </is>
      </c>
      <c r="AG157" t="n">
        <v>0</v>
      </c>
      <c r="AH157" t="n">
        <v>0</v>
      </c>
      <c r="AI157" t="n">
        <v>0</v>
      </c>
      <c r="AJ157" t="n">
        <v>1</v>
      </c>
      <c r="AK157" t="inlineStr">
        <is>
          <t>Don’t know</t>
        </is>
      </c>
      <c r="AL157" t="inlineStr">
        <is>
          <t>Don’t know</t>
        </is>
      </c>
      <c r="AM157" t="inlineStr">
        <is>
          <t xml:space="preserve">Can be prevented </t>
        </is>
      </c>
      <c r="AN157" t="inlineStr">
        <is>
          <t xml:space="preserve">From generation to generation (hereditary)  </t>
        </is>
      </c>
      <c r="AO157" t="inlineStr">
        <is>
          <t>Healthy</t>
        </is>
      </c>
      <c r="AP157" t="inlineStr">
        <is>
          <t>Don’t know</t>
        </is>
      </c>
      <c r="AQ157" t="inlineStr">
        <is>
          <t xml:space="preserve">Yes </t>
        </is>
      </c>
      <c r="AR157" t="inlineStr">
        <is>
          <t>Much less than this (&lt;40)</t>
        </is>
      </c>
      <c r="AS157" t="inlineStr">
        <is>
          <t>Regular blood transfusions for life  Iron overload affecting heart and liver  Fatigue Bone deformities</t>
        </is>
      </c>
      <c r="AT157" t="n">
        <v>1</v>
      </c>
      <c r="AU157" t="n">
        <v>1</v>
      </c>
      <c r="AV157" t="n">
        <v>0</v>
      </c>
      <c r="AW157" t="n">
        <v>0</v>
      </c>
      <c r="AX157" t="n">
        <v>0</v>
      </c>
      <c r="AY157" t="n">
        <v>0</v>
      </c>
      <c r="AZ157" t="n">
        <v>1</v>
      </c>
      <c r="BA157" t="n">
        <v>1</v>
      </c>
      <c r="BB157" t="inlineStr">
        <is>
          <t>I don’t know</t>
        </is>
      </c>
      <c r="BC157" t="n">
        <v>0</v>
      </c>
      <c r="BD157" t="n">
        <v>0</v>
      </c>
      <c r="BE157" t="n">
        <v>0</v>
      </c>
      <c r="BF157" t="n">
        <v>1</v>
      </c>
      <c r="BG157" t="inlineStr">
        <is>
          <t>Mass media (TV, newspapers, social media)</t>
        </is>
      </c>
      <c r="BH157" t="inlineStr">
        <is>
          <t>Definitely not</t>
        </is>
      </c>
      <c r="BI157" t="inlineStr">
        <is>
          <t xml:space="preserve">No </t>
        </is>
      </c>
      <c r="BJ157" t="inlineStr">
        <is>
          <t xml:space="preserve">Very important </t>
        </is>
      </c>
      <c r="BK157" t="inlineStr">
        <is>
          <t>Did not disclose thalassemia carrier state to partner</t>
        </is>
      </c>
      <c r="BM157" t="inlineStr">
        <is>
          <t xml:space="preserve"> Lack of understanding about its importance </t>
        </is>
      </c>
      <c r="BP157" t="inlineStr">
        <is>
          <t xml:space="preserve">Agree </t>
        </is>
      </c>
      <c r="BQ157" t="inlineStr">
        <is>
          <t xml:space="preserve">Yes </t>
        </is>
      </c>
      <c r="BS157" t="inlineStr">
        <is>
          <t>Don't know</t>
        </is>
      </c>
      <c r="BT157" t="inlineStr">
        <is>
          <t>Don't know</t>
        </is>
      </c>
      <c r="BU157" t="inlineStr">
        <is>
          <t>Don't know</t>
        </is>
      </c>
      <c r="BV157" t="inlineStr">
        <is>
          <t>Concern about stigma or discrimination Perception that screening was unnecessary</t>
        </is>
      </c>
      <c r="BW157" t="n">
        <v>0</v>
      </c>
      <c r="BX157" t="n">
        <v>1</v>
      </c>
      <c r="BY157" t="n">
        <v>0</v>
      </c>
      <c r="BZ157" t="n">
        <v>1</v>
      </c>
      <c r="CA157" t="n">
        <v>0</v>
      </c>
      <c r="CB157" t="n">
        <v>0</v>
      </c>
      <c r="CD157" t="inlineStr">
        <is>
          <t>Not sure</t>
        </is>
      </c>
      <c r="CE157" t="inlineStr">
        <is>
          <t xml:space="preserve"> Very important</t>
        </is>
      </c>
      <c r="CF157" t="n">
        <v>601234150</v>
      </c>
      <c r="CG157" t="inlineStr">
        <is>
          <t>5d2ed72e-b656-4262-968d-87e14df61f48</t>
        </is>
      </c>
      <c r="CH157" s="1" t="n">
        <v>45969.68263888889</v>
      </c>
      <c r="CK157" t="inlineStr">
        <is>
          <t>submitted_via_web</t>
        </is>
      </c>
      <c r="CM157" t="inlineStr">
        <is>
          <t>vteYUDpqfKnk39PHFZkvPS</t>
        </is>
      </c>
      <c r="CO157" t="inlineStr">
        <is>
          <t>uuid:5d2ed72e-b656-4262-968d-87e14df61f48</t>
        </is>
      </c>
      <c r="CP157" t="n">
        <v>156</v>
      </c>
      <c r="CQ157" t="n">
        <v>4</v>
      </c>
      <c r="CR157" t="n">
        <v>0.07379052829950983</v>
      </c>
    </row>
    <row r="158">
      <c r="A158" s="1" t="n">
        <v>45970.51470332176</v>
      </c>
      <c r="B158" s="1" t="n">
        <v>45970.5219094213</v>
      </c>
      <c r="D158" t="inlineStr">
        <is>
          <t>24</t>
        </is>
      </c>
      <c r="E158" t="inlineStr">
        <is>
          <t>Female</t>
        </is>
      </c>
      <c r="F158" t="inlineStr">
        <is>
          <t>Sinhalese</t>
        </is>
      </c>
      <c r="H158" t="inlineStr">
        <is>
          <t>Buddhist</t>
        </is>
      </c>
      <c r="J158" t="inlineStr">
        <is>
          <t>Not employed</t>
        </is>
      </c>
      <c r="L158" t="inlineStr">
        <is>
          <t xml:space="preserve">Undergraduate </t>
        </is>
      </c>
      <c r="M158" t="inlineStr">
        <is>
          <t>Western</t>
        </is>
      </c>
      <c r="N158" t="inlineStr">
        <is>
          <t>Single</t>
        </is>
      </c>
      <c r="P158" t="inlineStr">
        <is>
          <t>No</t>
        </is>
      </c>
      <c r="S158" t="inlineStr">
        <is>
          <t>During community screening</t>
        </is>
      </c>
      <c r="U158" t="inlineStr">
        <is>
          <t>Yes</t>
        </is>
      </c>
      <c r="V158" t="inlineStr">
        <is>
          <t>Thalassemia major (severe form)   Thalassemia minor or trait (carrier form)</t>
        </is>
      </c>
      <c r="W158" t="n">
        <v>1</v>
      </c>
      <c r="X158" t="n">
        <v>1</v>
      </c>
      <c r="Y158" t="n">
        <v>0</v>
      </c>
      <c r="Z158" t="n">
        <v>0</v>
      </c>
      <c r="AA158" t="inlineStr">
        <is>
          <t xml:space="preserve">Thalassemia major (severe form)  </t>
        </is>
      </c>
      <c r="AB158" t="n">
        <v>1</v>
      </c>
      <c r="AC158" t="n">
        <v>0</v>
      </c>
      <c r="AD158" t="n">
        <v>0</v>
      </c>
      <c r="AE158" t="n">
        <v>0</v>
      </c>
      <c r="AF158" t="inlineStr">
        <is>
          <t>Thalassemia minor or trait (carrier form)</t>
        </is>
      </c>
      <c r="AG158" t="n">
        <v>0</v>
      </c>
      <c r="AH158" t="n">
        <v>1</v>
      </c>
      <c r="AI158" t="n">
        <v>0</v>
      </c>
      <c r="AJ158" t="n">
        <v>0</v>
      </c>
      <c r="AK158" t="inlineStr">
        <is>
          <t>Yes</t>
        </is>
      </c>
      <c r="AL158" t="inlineStr">
        <is>
          <t xml:space="preserve">Cannot be cured   </t>
        </is>
      </c>
      <c r="AM158" t="inlineStr">
        <is>
          <t xml:space="preserve">Can be prevented </t>
        </is>
      </c>
      <c r="AN158" t="inlineStr">
        <is>
          <t xml:space="preserve">From generation to generation (hereditary)  </t>
        </is>
      </c>
      <c r="AO158" t="inlineStr">
        <is>
          <t>Healthy</t>
        </is>
      </c>
      <c r="AP158" t="inlineStr">
        <is>
          <t xml:space="preserve">Has a chance to be affected (e.g., 25%) </t>
        </is>
      </c>
      <c r="AQ158" t="inlineStr">
        <is>
          <t xml:space="preserve">Yes </t>
        </is>
      </c>
      <c r="AR158" t="inlineStr">
        <is>
          <t>Don’t know</t>
        </is>
      </c>
      <c r="AS158" t="inlineStr">
        <is>
          <t>Regular blood transfusions for life  Iron overload affecting heart and liver  Fatigue</t>
        </is>
      </c>
      <c r="AT158" t="n">
        <v>1</v>
      </c>
      <c r="AU158" t="n">
        <v>1</v>
      </c>
      <c r="AV158" t="n">
        <v>0</v>
      </c>
      <c r="AW158" t="n">
        <v>0</v>
      </c>
      <c r="AX158" t="n">
        <v>0</v>
      </c>
      <c r="AY158" t="n">
        <v>0</v>
      </c>
      <c r="AZ158" t="n">
        <v>1</v>
      </c>
      <c r="BA158" t="n">
        <v>0</v>
      </c>
      <c r="BB158" t="inlineStr">
        <is>
          <t xml:space="preserve"> Get the partner tested before marriage   Get family members tested </t>
        </is>
      </c>
      <c r="BC158" t="n">
        <v>1</v>
      </c>
      <c r="BD158" t="n">
        <v>1</v>
      </c>
      <c r="BE158" t="n">
        <v>0</v>
      </c>
      <c r="BF158" t="n">
        <v>0</v>
      </c>
      <c r="BG158" t="inlineStr">
        <is>
          <t xml:space="preserve">Healthcare staff (doctors and nurses) </t>
        </is>
      </c>
      <c r="BH158" t="inlineStr">
        <is>
          <t>Definitely not</t>
        </is>
      </c>
      <c r="BI158" t="inlineStr">
        <is>
          <t xml:space="preserve">No </t>
        </is>
      </c>
      <c r="BJ158" t="inlineStr">
        <is>
          <t xml:space="preserve">Important </t>
        </is>
      </c>
      <c r="BP158" t="inlineStr">
        <is>
          <t xml:space="preserve">Agree </t>
        </is>
      </c>
      <c r="BQ158" t="inlineStr">
        <is>
          <t xml:space="preserve">Yes </t>
        </is>
      </c>
      <c r="BS158" t="inlineStr">
        <is>
          <t>All</t>
        </is>
      </c>
      <c r="BT158" t="inlineStr">
        <is>
          <t>None</t>
        </is>
      </c>
      <c r="BU158" t="inlineStr">
        <is>
          <t>None</t>
        </is>
      </c>
      <c r="BV158" t="inlineStr">
        <is>
          <t xml:space="preserve">Lack of knowledge </t>
        </is>
      </c>
      <c r="BW158" t="n">
        <v>1</v>
      </c>
      <c r="BX158" t="n">
        <v>0</v>
      </c>
      <c r="BY158" t="n">
        <v>0</v>
      </c>
      <c r="BZ158" t="n">
        <v>0</v>
      </c>
      <c r="CA158" t="n">
        <v>0</v>
      </c>
      <c r="CB158" t="n">
        <v>0</v>
      </c>
      <c r="CD158" t="inlineStr">
        <is>
          <t>Not sure</t>
        </is>
      </c>
      <c r="CE158" t="inlineStr">
        <is>
          <t xml:space="preserve"> Very important</t>
        </is>
      </c>
      <c r="CF158" t="n">
        <v>601419159</v>
      </c>
      <c r="CG158" t="inlineStr">
        <is>
          <t>ec3f77d1-4f03-4fbd-9c50-339977d37882</t>
        </is>
      </c>
      <c r="CH158" s="1" t="n">
        <v>45970.29277777778</v>
      </c>
      <c r="CK158" t="inlineStr">
        <is>
          <t>submitted_via_web</t>
        </is>
      </c>
      <c r="CM158" t="inlineStr">
        <is>
          <t>vteYUDpqfKnk39PHFZkvPS</t>
        </is>
      </c>
      <c r="CO158" t="inlineStr">
        <is>
          <t>uuid:ec3f77d1-4f03-4fbd-9c50-339977d37882</t>
        </is>
      </c>
      <c r="CP158" t="n">
        <v>157</v>
      </c>
      <c r="CQ158" t="n">
        <v>5</v>
      </c>
      <c r="CR158" t="n">
        <v>0.4641035858837596</v>
      </c>
    </row>
    <row r="159">
      <c r="A159" s="1" t="n">
        <v>45970.52191042824</v>
      </c>
      <c r="B159" s="1" t="n">
        <v>45970.53453368055</v>
      </c>
      <c r="D159" t="inlineStr">
        <is>
          <t>50</t>
        </is>
      </c>
      <c r="E159" t="inlineStr">
        <is>
          <t>Female</t>
        </is>
      </c>
      <c r="F159" t="inlineStr">
        <is>
          <t>Sinhalese</t>
        </is>
      </c>
      <c r="H159" t="inlineStr">
        <is>
          <t>Buddhist</t>
        </is>
      </c>
      <c r="J159" t="inlineStr">
        <is>
          <t>Private sector</t>
        </is>
      </c>
      <c r="L159" t="inlineStr">
        <is>
          <t xml:space="preserve">Up to A/L </t>
        </is>
      </c>
      <c r="M159" t="inlineStr">
        <is>
          <t>Western</t>
        </is>
      </c>
      <c r="N159" t="inlineStr">
        <is>
          <t xml:space="preserve">Married </t>
        </is>
      </c>
      <c r="O159" t="inlineStr">
        <is>
          <t xml:space="preserve">Yes, more than one child </t>
        </is>
      </c>
      <c r="P159" t="inlineStr">
        <is>
          <t>No</t>
        </is>
      </c>
      <c r="S159" t="inlineStr">
        <is>
          <t>At workplace</t>
        </is>
      </c>
      <c r="U159" t="inlineStr">
        <is>
          <t>Yes</t>
        </is>
      </c>
      <c r="V159" t="inlineStr">
        <is>
          <t>I don’t know</t>
        </is>
      </c>
      <c r="W159" t="n">
        <v>0</v>
      </c>
      <c r="X159" t="n">
        <v>0</v>
      </c>
      <c r="Y159" t="n">
        <v>0</v>
      </c>
      <c r="Z159" t="n">
        <v>1</v>
      </c>
      <c r="AA159" t="inlineStr">
        <is>
          <t>I don’t know</t>
        </is>
      </c>
      <c r="AB159" t="n">
        <v>0</v>
      </c>
      <c r="AC159" t="n">
        <v>0</v>
      </c>
      <c r="AD159" t="n">
        <v>0</v>
      </c>
      <c r="AE159" t="n">
        <v>1</v>
      </c>
      <c r="AF159" t="inlineStr">
        <is>
          <t>Thalassemia minor or trait (carrier form)</t>
        </is>
      </c>
      <c r="AG159" t="n">
        <v>0</v>
      </c>
      <c r="AH159" t="n">
        <v>1</v>
      </c>
      <c r="AI159" t="n">
        <v>0</v>
      </c>
      <c r="AJ159" t="n">
        <v>0</v>
      </c>
      <c r="AK159" t="inlineStr">
        <is>
          <t>Yes</t>
        </is>
      </c>
      <c r="AL159" t="inlineStr">
        <is>
          <t xml:space="preserve">Cannot be cured   </t>
        </is>
      </c>
      <c r="AM159" t="inlineStr">
        <is>
          <t xml:space="preserve">Can be prevented </t>
        </is>
      </c>
      <c r="AN159" t="inlineStr">
        <is>
          <t xml:space="preserve">From generation to generation (hereditary)  </t>
        </is>
      </c>
      <c r="AO159" t="inlineStr">
        <is>
          <t>Healthy</t>
        </is>
      </c>
      <c r="AP159" t="inlineStr">
        <is>
          <t>Always affected by thalassemia</t>
        </is>
      </c>
      <c r="AQ159" t="inlineStr">
        <is>
          <t xml:space="preserve">Yes </t>
        </is>
      </c>
      <c r="AR159" t="inlineStr">
        <is>
          <t>Don’t know</t>
        </is>
      </c>
      <c r="AS159" t="inlineStr">
        <is>
          <t xml:space="preserve">Regular blood transfusions for life </t>
        </is>
      </c>
      <c r="AT159" t="n">
        <v>1</v>
      </c>
      <c r="AU159" t="n">
        <v>0</v>
      </c>
      <c r="AV159" t="n">
        <v>0</v>
      </c>
      <c r="AW159" t="n">
        <v>0</v>
      </c>
      <c r="AX159" t="n">
        <v>0</v>
      </c>
      <c r="AY159" t="n">
        <v>0</v>
      </c>
      <c r="AZ159" t="n">
        <v>0</v>
      </c>
      <c r="BA159" t="n">
        <v>0</v>
      </c>
      <c r="BB159" t="inlineStr">
        <is>
          <t xml:space="preserve"> Get the partner tested before marriage   Get family members tested </t>
        </is>
      </c>
      <c r="BC159" t="n">
        <v>1</v>
      </c>
      <c r="BD159" t="n">
        <v>1</v>
      </c>
      <c r="BE159" t="n">
        <v>0</v>
      </c>
      <c r="BF159" t="n">
        <v>0</v>
      </c>
      <c r="BG159" t="inlineStr">
        <is>
          <t xml:space="preserve">Healthcare staff (doctors and nurses) </t>
        </is>
      </c>
      <c r="BH159" t="inlineStr">
        <is>
          <t>Definitely not</t>
        </is>
      </c>
      <c r="BI159" t="inlineStr">
        <is>
          <t xml:space="preserve">No </t>
        </is>
      </c>
      <c r="BJ159" t="inlineStr">
        <is>
          <t xml:space="preserve">Important </t>
        </is>
      </c>
      <c r="BK159" t="inlineStr">
        <is>
          <t xml:space="preserve"> Partner was screened after marriage </t>
        </is>
      </c>
      <c r="BP159" t="inlineStr">
        <is>
          <t xml:space="preserve">Agree </t>
        </is>
      </c>
      <c r="BQ159" t="inlineStr">
        <is>
          <t xml:space="preserve">Yes </t>
        </is>
      </c>
      <c r="BS159" t="inlineStr">
        <is>
          <t>All</t>
        </is>
      </c>
      <c r="BT159" t="inlineStr">
        <is>
          <t>None</t>
        </is>
      </c>
      <c r="BU159" t="inlineStr">
        <is>
          <t>None</t>
        </is>
      </c>
      <c r="BV159" t="inlineStr">
        <is>
          <t xml:space="preserve">Lack of knowledge </t>
        </is>
      </c>
      <c r="BW159" t="n">
        <v>1</v>
      </c>
      <c r="BX159" t="n">
        <v>0</v>
      </c>
      <c r="BY159" t="n">
        <v>0</v>
      </c>
      <c r="BZ159" t="n">
        <v>0</v>
      </c>
      <c r="CA159" t="n">
        <v>0</v>
      </c>
      <c r="CB159" t="n">
        <v>0</v>
      </c>
      <c r="CD159" t="inlineStr">
        <is>
          <t xml:space="preserve">Difficult </t>
        </is>
      </c>
      <c r="CE159" t="inlineStr">
        <is>
          <t xml:space="preserve">Important </t>
        </is>
      </c>
      <c r="CF159" t="n">
        <v>601426099</v>
      </c>
      <c r="CG159" t="inlineStr">
        <is>
          <t>efa5cd4a-4b0c-4d2f-a191-822eee97aa69</t>
        </is>
      </c>
      <c r="CH159" s="1" t="n">
        <v>45970.30538194445</v>
      </c>
      <c r="CK159" t="inlineStr">
        <is>
          <t>submitted_via_web</t>
        </is>
      </c>
      <c r="CM159" t="inlineStr">
        <is>
          <t>vteYUDpqfKnk39PHFZkvPS</t>
        </is>
      </c>
      <c r="CO159" t="inlineStr">
        <is>
          <t>uuid:efa5cd4a-4b0c-4d2f-a191-822eee97aa69</t>
        </is>
      </c>
      <c r="CP159" t="n">
        <v>158</v>
      </c>
      <c r="CQ159" t="n">
        <v>1</v>
      </c>
      <c r="CR159" t="n">
        <v>-1.097148644453239</v>
      </c>
    </row>
    <row r="160">
      <c r="A160" s="1" t="n">
        <v>45970.53529420139</v>
      </c>
      <c r="B160" s="1" t="n">
        <v>45970.54032030093</v>
      </c>
      <c r="D160" t="inlineStr">
        <is>
          <t>25</t>
        </is>
      </c>
      <c r="E160" t="inlineStr">
        <is>
          <t>Female</t>
        </is>
      </c>
      <c r="F160" t="inlineStr">
        <is>
          <t>Sinhalese</t>
        </is>
      </c>
      <c r="H160" t="inlineStr">
        <is>
          <t>Buddhist</t>
        </is>
      </c>
      <c r="J160" t="inlineStr">
        <is>
          <t>Not employed</t>
        </is>
      </c>
      <c r="L160" t="inlineStr">
        <is>
          <t xml:space="preserve">Undergraduate </t>
        </is>
      </c>
      <c r="M160" t="inlineStr">
        <is>
          <t>Western</t>
        </is>
      </c>
      <c r="N160" t="inlineStr">
        <is>
          <t>Single</t>
        </is>
      </c>
      <c r="P160" t="inlineStr">
        <is>
          <t>No</t>
        </is>
      </c>
      <c r="S160" t="inlineStr">
        <is>
          <t xml:space="preserve">During school/university  </t>
        </is>
      </c>
      <c r="U160" t="inlineStr">
        <is>
          <t>Yes</t>
        </is>
      </c>
      <c r="V160" t="inlineStr">
        <is>
          <t>Thalassemia major (severe form)   Thalassemia minor or trait (carrier form)</t>
        </is>
      </c>
      <c r="W160" t="n">
        <v>1</v>
      </c>
      <c r="X160" t="n">
        <v>1</v>
      </c>
      <c r="Y160" t="n">
        <v>0</v>
      </c>
      <c r="Z160" t="n">
        <v>0</v>
      </c>
      <c r="AA160" t="inlineStr">
        <is>
          <t xml:space="preserve">Thalassemia major (severe form)  </t>
        </is>
      </c>
      <c r="AB160" t="n">
        <v>1</v>
      </c>
      <c r="AC160" t="n">
        <v>0</v>
      </c>
      <c r="AD160" t="n">
        <v>0</v>
      </c>
      <c r="AE160" t="n">
        <v>0</v>
      </c>
      <c r="AF160" t="inlineStr">
        <is>
          <t>Thalassemia minor or trait (carrier form)</t>
        </is>
      </c>
      <c r="AG160" t="n">
        <v>0</v>
      </c>
      <c r="AH160" t="n">
        <v>1</v>
      </c>
      <c r="AI160" t="n">
        <v>0</v>
      </c>
      <c r="AJ160" t="n">
        <v>0</v>
      </c>
      <c r="AK160" t="inlineStr">
        <is>
          <t>Yes</t>
        </is>
      </c>
      <c r="AL160" t="inlineStr">
        <is>
          <t xml:space="preserve">Cannot be cured   </t>
        </is>
      </c>
      <c r="AM160" t="inlineStr">
        <is>
          <t xml:space="preserve">Can be prevented </t>
        </is>
      </c>
      <c r="AN160" t="inlineStr">
        <is>
          <t xml:space="preserve">From generation to generation (hereditary)  </t>
        </is>
      </c>
      <c r="AO160" t="inlineStr">
        <is>
          <t>Healthy</t>
        </is>
      </c>
      <c r="AP160" t="inlineStr">
        <is>
          <t>Always affected by thalassemia</t>
        </is>
      </c>
      <c r="AQ160" t="inlineStr">
        <is>
          <t xml:space="preserve">Yes </t>
        </is>
      </c>
      <c r="AR160" t="inlineStr">
        <is>
          <t>Don’t know</t>
        </is>
      </c>
      <c r="AS160" t="inlineStr">
        <is>
          <t xml:space="preserve">Regular blood transfusions for life </t>
        </is>
      </c>
      <c r="AT160" t="n">
        <v>1</v>
      </c>
      <c r="AU160" t="n">
        <v>0</v>
      </c>
      <c r="AV160" t="n">
        <v>0</v>
      </c>
      <c r="AW160" t="n">
        <v>0</v>
      </c>
      <c r="AX160" t="n">
        <v>0</v>
      </c>
      <c r="AY160" t="n">
        <v>0</v>
      </c>
      <c r="AZ160" t="n">
        <v>0</v>
      </c>
      <c r="BA160" t="n">
        <v>0</v>
      </c>
      <c r="BB160" t="inlineStr">
        <is>
          <t xml:space="preserve"> Get the partner tested before marriage   Get family members tested </t>
        </is>
      </c>
      <c r="BC160" t="n">
        <v>1</v>
      </c>
      <c r="BD160" t="n">
        <v>1</v>
      </c>
      <c r="BE160" t="n">
        <v>0</v>
      </c>
      <c r="BF160" t="n">
        <v>0</v>
      </c>
      <c r="BG160" t="inlineStr">
        <is>
          <t>Only found out after screening</t>
        </is>
      </c>
      <c r="BH160" t="inlineStr">
        <is>
          <t>Definitely not</t>
        </is>
      </c>
      <c r="BI160" t="inlineStr">
        <is>
          <t>Not sure</t>
        </is>
      </c>
      <c r="BJ160" t="inlineStr">
        <is>
          <t xml:space="preserve">Important </t>
        </is>
      </c>
      <c r="BP160" t="inlineStr">
        <is>
          <t xml:space="preserve">Agree </t>
        </is>
      </c>
      <c r="BQ160" t="inlineStr">
        <is>
          <t xml:space="preserve">Yes </t>
        </is>
      </c>
      <c r="BS160" t="inlineStr">
        <is>
          <t>All</t>
        </is>
      </c>
      <c r="BT160" t="inlineStr">
        <is>
          <t>None</t>
        </is>
      </c>
      <c r="BU160" t="inlineStr">
        <is>
          <t>None</t>
        </is>
      </c>
      <c r="BV160" t="inlineStr">
        <is>
          <t xml:space="preserve">Lack of knowledge </t>
        </is>
      </c>
      <c r="BW160" t="n">
        <v>1</v>
      </c>
      <c r="BX160" t="n">
        <v>0</v>
      </c>
      <c r="BY160" t="n">
        <v>0</v>
      </c>
      <c r="BZ160" t="n">
        <v>0</v>
      </c>
      <c r="CA160" t="n">
        <v>0</v>
      </c>
      <c r="CB160" t="n">
        <v>0</v>
      </c>
      <c r="CE160" t="inlineStr">
        <is>
          <t xml:space="preserve">Important </t>
        </is>
      </c>
      <c r="CF160" t="n">
        <v>601429654</v>
      </c>
      <c r="CG160" t="inlineStr">
        <is>
          <t>84856ef4-3738-4920-995b-2087fc626fe8</t>
        </is>
      </c>
      <c r="CH160" s="1" t="n">
        <v>45970.31118055555</v>
      </c>
      <c r="CK160" t="inlineStr">
        <is>
          <t>submitted_via_web</t>
        </is>
      </c>
      <c r="CM160" t="inlineStr">
        <is>
          <t>vteYUDpqfKnk39PHFZkvPS</t>
        </is>
      </c>
      <c r="CO160" t="inlineStr">
        <is>
          <t>uuid:84856ef4-3738-4920-995b-2087fc626fe8</t>
        </is>
      </c>
      <c r="CP160" t="n">
        <v>159</v>
      </c>
      <c r="CQ160" t="n">
        <v>3</v>
      </c>
      <c r="CR160" t="n">
        <v>-0.3165225292847399</v>
      </c>
    </row>
    <row r="161">
      <c r="A161" s="1" t="n">
        <v>45970.52442961805</v>
      </c>
      <c r="B161" s="1" t="n">
        <v>45971.9294715162</v>
      </c>
      <c r="D161" t="inlineStr">
        <is>
          <t>26</t>
        </is>
      </c>
      <c r="E161" t="inlineStr">
        <is>
          <t>Female</t>
        </is>
      </c>
      <c r="F161" t="inlineStr">
        <is>
          <t>Sinhalese</t>
        </is>
      </c>
      <c r="H161" t="inlineStr">
        <is>
          <t>Buddhist</t>
        </is>
      </c>
      <c r="J161" t="inlineStr">
        <is>
          <t>Not employed</t>
        </is>
      </c>
      <c r="L161" t="inlineStr">
        <is>
          <t xml:space="preserve">Undergraduate </t>
        </is>
      </c>
      <c r="M161" t="inlineStr">
        <is>
          <t xml:space="preserve">Central </t>
        </is>
      </c>
      <c r="N161" t="inlineStr">
        <is>
          <t>Single</t>
        </is>
      </c>
      <c r="P161" t="inlineStr">
        <is>
          <t xml:space="preserve"> Yes </t>
        </is>
      </c>
      <c r="Q161" t="inlineStr">
        <is>
          <t>Anemia</t>
        </is>
      </c>
      <c r="R161" s="1" t="n">
        <v>44798</v>
      </c>
      <c r="S161" t="inlineStr">
        <is>
          <t xml:space="preserve">During school/university  </t>
        </is>
      </c>
      <c r="U161" t="inlineStr">
        <is>
          <t>Yes</t>
        </is>
      </c>
      <c r="V161" t="inlineStr">
        <is>
          <t>I don’t know</t>
        </is>
      </c>
      <c r="W161" t="n">
        <v>0</v>
      </c>
      <c r="X161" t="n">
        <v>0</v>
      </c>
      <c r="Y161" t="n">
        <v>0</v>
      </c>
      <c r="Z161" t="n">
        <v>1</v>
      </c>
      <c r="AA161" t="inlineStr">
        <is>
          <t>I don’t know</t>
        </is>
      </c>
      <c r="AB161" t="n">
        <v>0</v>
      </c>
      <c r="AC161" t="n">
        <v>0</v>
      </c>
      <c r="AD161" t="n">
        <v>0</v>
      </c>
      <c r="AE161" t="n">
        <v>1</v>
      </c>
      <c r="AK161" t="inlineStr">
        <is>
          <t>Don’t know</t>
        </is>
      </c>
      <c r="AL161" t="inlineStr">
        <is>
          <t>Don’t know</t>
        </is>
      </c>
      <c r="AM161" t="inlineStr">
        <is>
          <t xml:space="preserve">Can be prevented </t>
        </is>
      </c>
      <c r="AN161" t="inlineStr">
        <is>
          <t xml:space="preserve">From generation to generation (hereditary)  </t>
        </is>
      </c>
      <c r="AO161" t="inlineStr">
        <is>
          <t xml:space="preserve">Not healthy  </t>
        </is>
      </c>
      <c r="AP161" t="inlineStr">
        <is>
          <t xml:space="preserve">Has a chance to be affected (e.g., 25%) </t>
        </is>
      </c>
      <c r="AQ161" t="inlineStr">
        <is>
          <t>No</t>
        </is>
      </c>
      <c r="AR161" t="inlineStr">
        <is>
          <t>Don’t know</t>
        </is>
      </c>
      <c r="AS161" t="inlineStr">
        <is>
          <t>Regular blood transfusions for life  Delayed growth and puberty</t>
        </is>
      </c>
      <c r="AT161" t="n">
        <v>1</v>
      </c>
      <c r="AU161" t="n">
        <v>0</v>
      </c>
      <c r="AV161" t="n">
        <v>1</v>
      </c>
      <c r="AW161" t="n">
        <v>0</v>
      </c>
      <c r="AX161" t="n">
        <v>0</v>
      </c>
      <c r="AY161" t="n">
        <v>0</v>
      </c>
      <c r="AZ161" t="n">
        <v>0</v>
      </c>
      <c r="BA161" t="n">
        <v>0</v>
      </c>
      <c r="BB161" t="inlineStr">
        <is>
          <t xml:space="preserve"> Get the partner tested before marriage  </t>
        </is>
      </c>
      <c r="BC161" t="n">
        <v>1</v>
      </c>
      <c r="BD161" t="n">
        <v>0</v>
      </c>
      <c r="BE161" t="n">
        <v>0</v>
      </c>
      <c r="BF161" t="n">
        <v>0</v>
      </c>
      <c r="BG161" t="inlineStr">
        <is>
          <t xml:space="preserve">Healthcare staff (doctors and nurses) </t>
        </is>
      </c>
      <c r="BH161" t="inlineStr">
        <is>
          <t>Definitely not</t>
        </is>
      </c>
      <c r="BI161" t="inlineStr">
        <is>
          <t xml:space="preserve">No </t>
        </is>
      </c>
      <c r="BJ161" t="inlineStr">
        <is>
          <t xml:space="preserve">Very important </t>
        </is>
      </c>
      <c r="BK161" t="inlineStr">
        <is>
          <t>Other</t>
        </is>
      </c>
      <c r="BL161" t="inlineStr">
        <is>
          <t>No partner yet</t>
        </is>
      </c>
      <c r="BP161" t="inlineStr">
        <is>
          <t xml:space="preserve">Disagree </t>
        </is>
      </c>
      <c r="BQ161" t="inlineStr">
        <is>
          <t>No</t>
        </is>
      </c>
      <c r="BS161" t="inlineStr">
        <is>
          <t>None</t>
        </is>
      </c>
      <c r="BT161" t="inlineStr">
        <is>
          <t>None</t>
        </is>
      </c>
      <c r="BU161" t="inlineStr">
        <is>
          <t>None</t>
        </is>
      </c>
      <c r="BV161" t="inlineStr">
        <is>
          <t>Lack of knowledge  Perception that screening was unnecessary Cost or access issues</t>
        </is>
      </c>
      <c r="BW161" t="n">
        <v>1</v>
      </c>
      <c r="BX161" t="n">
        <v>0</v>
      </c>
      <c r="BY161" t="n">
        <v>0</v>
      </c>
      <c r="BZ161" t="n">
        <v>1</v>
      </c>
      <c r="CA161" t="n">
        <v>1</v>
      </c>
      <c r="CB161" t="n">
        <v>0</v>
      </c>
      <c r="CD161" t="inlineStr">
        <is>
          <t xml:space="preserve">Difficult </t>
        </is>
      </c>
      <c r="CE161" t="inlineStr">
        <is>
          <t xml:space="preserve">Slightly important </t>
        </is>
      </c>
      <c r="CF161" t="n">
        <v>602527281</v>
      </c>
      <c r="CG161" t="inlineStr">
        <is>
          <t>2562344f-0f60-4ef2-b48d-d10ee2d40ac7</t>
        </is>
      </c>
      <c r="CH161" s="1" t="n">
        <v>45971.7003125</v>
      </c>
      <c r="CK161" t="inlineStr">
        <is>
          <t>submitted_via_web</t>
        </is>
      </c>
      <c r="CM161" t="inlineStr">
        <is>
          <t>vteYUDpqfKnk39PHFZkvPS</t>
        </is>
      </c>
      <c r="CO161" t="inlineStr">
        <is>
          <t>uuid:2562344f-0f60-4ef2-b48d-d10ee2d40ac7</t>
        </is>
      </c>
      <c r="CP161" t="n">
        <v>160</v>
      </c>
      <c r="CQ161" t="n">
        <v>2</v>
      </c>
      <c r="CR161" t="n">
        <v>-0.7068355868689896</v>
      </c>
    </row>
    <row r="162">
      <c r="A162" s="1" t="n">
        <v>45971.92947303241</v>
      </c>
      <c r="B162" s="1" t="n">
        <v>45971.93675354167</v>
      </c>
      <c r="D162" t="inlineStr">
        <is>
          <t>48</t>
        </is>
      </c>
      <c r="E162" t="inlineStr">
        <is>
          <t xml:space="preserve">Male </t>
        </is>
      </c>
      <c r="F162" t="inlineStr">
        <is>
          <t>Sinhalese</t>
        </is>
      </c>
      <c r="H162" t="inlineStr">
        <is>
          <t>Buddhist</t>
        </is>
      </c>
      <c r="J162" t="inlineStr">
        <is>
          <t>Private sector</t>
        </is>
      </c>
      <c r="K162" t="inlineStr">
        <is>
          <t>&gt; 100,000</t>
        </is>
      </c>
      <c r="L162" t="inlineStr">
        <is>
          <t xml:space="preserve">Up to O/L </t>
        </is>
      </c>
      <c r="M162" t="inlineStr">
        <is>
          <t>Western</t>
        </is>
      </c>
      <c r="N162" t="inlineStr">
        <is>
          <t xml:space="preserve">Married </t>
        </is>
      </c>
      <c r="O162" t="inlineStr">
        <is>
          <t xml:space="preserve">Yes, more than one child </t>
        </is>
      </c>
      <c r="P162" t="inlineStr">
        <is>
          <t>No</t>
        </is>
      </c>
      <c r="R162" s="1" t="n">
        <v>44875</v>
      </c>
      <c r="S162" t="inlineStr">
        <is>
          <t>During community screening</t>
        </is>
      </c>
      <c r="U162" t="inlineStr">
        <is>
          <t>Yes</t>
        </is>
      </c>
      <c r="V162" t="inlineStr">
        <is>
          <t>I don’t know</t>
        </is>
      </c>
      <c r="W162" t="n">
        <v>0</v>
      </c>
      <c r="X162" t="n">
        <v>0</v>
      </c>
      <c r="Y162" t="n">
        <v>0</v>
      </c>
      <c r="Z162" t="n">
        <v>1</v>
      </c>
      <c r="AA162" t="inlineStr">
        <is>
          <t>I don’t know</t>
        </is>
      </c>
      <c r="AB162" t="n">
        <v>0</v>
      </c>
      <c r="AC162" t="n">
        <v>0</v>
      </c>
      <c r="AD162" t="n">
        <v>0</v>
      </c>
      <c r="AE162" t="n">
        <v>1</v>
      </c>
      <c r="AF162" t="inlineStr">
        <is>
          <t>I don’t know</t>
        </is>
      </c>
      <c r="AG162" t="n">
        <v>0</v>
      </c>
      <c r="AH162" t="n">
        <v>0</v>
      </c>
      <c r="AI162" t="n">
        <v>0</v>
      </c>
      <c r="AJ162" t="n">
        <v>1</v>
      </c>
      <c r="AK162" t="inlineStr">
        <is>
          <t>Yes</t>
        </is>
      </c>
      <c r="AL162" t="inlineStr">
        <is>
          <t>Can be cured with common treatments</t>
        </is>
      </c>
      <c r="AM162" t="inlineStr">
        <is>
          <t>Not sure</t>
        </is>
      </c>
      <c r="AN162" t="inlineStr">
        <is>
          <t xml:space="preserve">From generation to generation (hereditary)  </t>
        </is>
      </c>
      <c r="AO162" t="inlineStr">
        <is>
          <t xml:space="preserve">Not healthy  </t>
        </is>
      </c>
      <c r="AP162" t="inlineStr">
        <is>
          <t>Always affected by thalassemia</t>
        </is>
      </c>
      <c r="AQ162" t="inlineStr">
        <is>
          <t>No</t>
        </is>
      </c>
      <c r="AR162" t="inlineStr">
        <is>
          <t>Don’t know</t>
        </is>
      </c>
      <c r="BB162" t="inlineStr">
        <is>
          <t>I don’t know</t>
        </is>
      </c>
      <c r="BC162" t="n">
        <v>0</v>
      </c>
      <c r="BD162" t="n">
        <v>0</v>
      </c>
      <c r="BE162" t="n">
        <v>0</v>
      </c>
      <c r="BF162" t="n">
        <v>1</v>
      </c>
      <c r="BG162" t="inlineStr">
        <is>
          <t>Only found out after screening</t>
        </is>
      </c>
      <c r="BH162" t="inlineStr">
        <is>
          <t>Definitely not</t>
        </is>
      </c>
      <c r="BI162" t="inlineStr">
        <is>
          <t xml:space="preserve">No </t>
        </is>
      </c>
      <c r="BJ162" t="inlineStr">
        <is>
          <t xml:space="preserve">Important </t>
        </is>
      </c>
      <c r="BK162" t="inlineStr">
        <is>
          <t xml:space="preserve"> Partner was screened after marriage </t>
        </is>
      </c>
      <c r="BP162" t="inlineStr">
        <is>
          <t xml:space="preserve">Agree </t>
        </is>
      </c>
      <c r="BQ162" t="inlineStr">
        <is>
          <t xml:space="preserve">Yes </t>
        </is>
      </c>
      <c r="BS162" t="inlineStr">
        <is>
          <t>All</t>
        </is>
      </c>
      <c r="BT162" t="inlineStr">
        <is>
          <t>None</t>
        </is>
      </c>
      <c r="BU162" t="inlineStr">
        <is>
          <t>None</t>
        </is>
      </c>
      <c r="BV162" t="inlineStr">
        <is>
          <t xml:space="preserve">Lack of knowledge </t>
        </is>
      </c>
      <c r="BW162" t="n">
        <v>1</v>
      </c>
      <c r="BX162" t="n">
        <v>0</v>
      </c>
      <c r="BY162" t="n">
        <v>0</v>
      </c>
      <c r="BZ162" t="n">
        <v>0</v>
      </c>
      <c r="CA162" t="n">
        <v>0</v>
      </c>
      <c r="CB162" t="n">
        <v>0</v>
      </c>
      <c r="CD162" t="inlineStr">
        <is>
          <t xml:space="preserve">Somewhat easy </t>
        </is>
      </c>
      <c r="CE162" t="inlineStr">
        <is>
          <t xml:space="preserve">Important </t>
        </is>
      </c>
      <c r="CF162" t="n">
        <v>602535370</v>
      </c>
      <c r="CG162" t="inlineStr">
        <is>
          <t>b50dca5c-d261-4718-ba25-909560b4369e</t>
        </is>
      </c>
      <c r="CH162" s="1" t="n">
        <v>45971.70761574074</v>
      </c>
      <c r="CK162" t="inlineStr">
        <is>
          <t>submitted_via_web</t>
        </is>
      </c>
      <c r="CM162" t="inlineStr">
        <is>
          <t>vteYUDpqfKnk39PHFZkvPS</t>
        </is>
      </c>
      <c r="CO162" t="inlineStr">
        <is>
          <t>uuid:b50dca5c-d261-4718-ba25-909560b4369e</t>
        </is>
      </c>
      <c r="CP162" t="n">
        <v>161</v>
      </c>
      <c r="CQ162" t="n">
        <v>0</v>
      </c>
      <c r="CR162" t="n">
        <v>-1.487461702037489</v>
      </c>
    </row>
    <row r="163">
      <c r="A163" s="1" t="n">
        <v>45971.93675453704</v>
      </c>
      <c r="B163" s="1" t="n">
        <v>45971.94190949074</v>
      </c>
      <c r="D163" t="inlineStr">
        <is>
          <t>39</t>
        </is>
      </c>
      <c r="E163" t="inlineStr">
        <is>
          <t xml:space="preserve">Male </t>
        </is>
      </c>
      <c r="F163" t="inlineStr">
        <is>
          <t>Sinhalese</t>
        </is>
      </c>
      <c r="H163" t="inlineStr">
        <is>
          <t>Buddhist</t>
        </is>
      </c>
      <c r="J163" t="inlineStr">
        <is>
          <t>Private sector</t>
        </is>
      </c>
      <c r="K163" t="inlineStr">
        <is>
          <t>51,000 – 100,000</t>
        </is>
      </c>
      <c r="L163" t="inlineStr">
        <is>
          <t xml:space="preserve">Graduate </t>
        </is>
      </c>
      <c r="M163" t="inlineStr">
        <is>
          <t>Western</t>
        </is>
      </c>
      <c r="N163" t="inlineStr">
        <is>
          <t xml:space="preserve">Married </t>
        </is>
      </c>
      <c r="O163" t="inlineStr">
        <is>
          <t xml:space="preserve">Yes, more than one child </t>
        </is>
      </c>
      <c r="P163" t="inlineStr">
        <is>
          <t>No</t>
        </is>
      </c>
      <c r="R163" s="1" t="n">
        <v>44145</v>
      </c>
      <c r="S163" t="inlineStr">
        <is>
          <t>During community screening</t>
        </is>
      </c>
      <c r="U163" t="inlineStr">
        <is>
          <t>Yes</t>
        </is>
      </c>
      <c r="V163" t="inlineStr">
        <is>
          <t>Thalassemia major (severe form)   Thalassemia minor or trait (carrier form)</t>
        </is>
      </c>
      <c r="W163" t="n">
        <v>1</v>
      </c>
      <c r="X163" t="n">
        <v>1</v>
      </c>
      <c r="Y163" t="n">
        <v>0</v>
      </c>
      <c r="Z163" t="n">
        <v>0</v>
      </c>
      <c r="AA163" t="inlineStr">
        <is>
          <t xml:space="preserve">Thalassemia major (severe form)  </t>
        </is>
      </c>
      <c r="AB163" t="n">
        <v>1</v>
      </c>
      <c r="AC163" t="n">
        <v>0</v>
      </c>
      <c r="AD163" t="n">
        <v>0</v>
      </c>
      <c r="AE163" t="n">
        <v>0</v>
      </c>
      <c r="AF163" t="inlineStr">
        <is>
          <t>Thalassemia minor or trait (carrier form)</t>
        </is>
      </c>
      <c r="AG163" t="n">
        <v>0</v>
      </c>
      <c r="AH163" t="n">
        <v>1</v>
      </c>
      <c r="AI163" t="n">
        <v>0</v>
      </c>
      <c r="AJ163" t="n">
        <v>0</v>
      </c>
      <c r="AK163" t="inlineStr">
        <is>
          <t>Yes</t>
        </is>
      </c>
      <c r="AL163" t="inlineStr">
        <is>
          <t>Very difficult (e.g., bone marrow transplant)</t>
        </is>
      </c>
      <c r="AM163" t="inlineStr">
        <is>
          <t xml:space="preserve">Can be prevented </t>
        </is>
      </c>
      <c r="AN163" t="inlineStr">
        <is>
          <t xml:space="preserve">From generation to generation (hereditary)  </t>
        </is>
      </c>
      <c r="AO163" t="inlineStr">
        <is>
          <t>Healthy</t>
        </is>
      </c>
      <c r="AP163" t="inlineStr">
        <is>
          <t>Always affected by thalassemia</t>
        </is>
      </c>
      <c r="AQ163" t="inlineStr">
        <is>
          <t xml:space="preserve">Yes </t>
        </is>
      </c>
      <c r="AR163" t="inlineStr">
        <is>
          <t>Don’t know</t>
        </is>
      </c>
      <c r="AS163" t="inlineStr">
        <is>
          <t>Regular blood transfusions for life  Delayed growth and puberty Bone deformities</t>
        </is>
      </c>
      <c r="AT163" t="n">
        <v>1</v>
      </c>
      <c r="AU163" t="n">
        <v>0</v>
      </c>
      <c r="AV163" t="n">
        <v>1</v>
      </c>
      <c r="AW163" t="n">
        <v>0</v>
      </c>
      <c r="AX163" t="n">
        <v>0</v>
      </c>
      <c r="AY163" t="n">
        <v>0</v>
      </c>
      <c r="AZ163" t="n">
        <v>0</v>
      </c>
      <c r="BA163" t="n">
        <v>1</v>
      </c>
      <c r="BB163" t="inlineStr">
        <is>
          <t xml:space="preserve"> Get the partner tested before marriage   Get family members tested </t>
        </is>
      </c>
      <c r="BC163" t="n">
        <v>1</v>
      </c>
      <c r="BD163" t="n">
        <v>1</v>
      </c>
      <c r="BE163" t="n">
        <v>0</v>
      </c>
      <c r="BF163" t="n">
        <v>0</v>
      </c>
      <c r="BG163" t="inlineStr">
        <is>
          <t xml:space="preserve">School  </t>
        </is>
      </c>
      <c r="BH163" t="inlineStr">
        <is>
          <t>Definitely not</t>
        </is>
      </c>
      <c r="BI163" t="inlineStr">
        <is>
          <t xml:space="preserve">No </t>
        </is>
      </c>
      <c r="BJ163" t="inlineStr">
        <is>
          <t xml:space="preserve">Very important </t>
        </is>
      </c>
      <c r="BK163" t="inlineStr">
        <is>
          <t xml:space="preserve"> Partner was screened after marriage </t>
        </is>
      </c>
      <c r="BP163" t="inlineStr">
        <is>
          <t xml:space="preserve">Agree </t>
        </is>
      </c>
      <c r="BQ163" t="inlineStr">
        <is>
          <t xml:space="preserve">Yes </t>
        </is>
      </c>
      <c r="BS163" t="inlineStr">
        <is>
          <t>Some</t>
        </is>
      </c>
      <c r="BT163" t="inlineStr">
        <is>
          <t>None</t>
        </is>
      </c>
      <c r="BU163" t="inlineStr">
        <is>
          <t>None</t>
        </is>
      </c>
      <c r="BV163" t="inlineStr">
        <is>
          <t>Lack of knowledge  Perception that screening was unnecessary</t>
        </is>
      </c>
      <c r="BW163" t="n">
        <v>1</v>
      </c>
      <c r="BX163" t="n">
        <v>0</v>
      </c>
      <c r="BY163" t="n">
        <v>0</v>
      </c>
      <c r="BZ163" t="n">
        <v>1</v>
      </c>
      <c r="CA163" t="n">
        <v>0</v>
      </c>
      <c r="CB163" t="n">
        <v>0</v>
      </c>
      <c r="CD163" t="inlineStr">
        <is>
          <t xml:space="preserve">Difficult </t>
        </is>
      </c>
      <c r="CE163" t="inlineStr">
        <is>
          <t xml:space="preserve">Important </t>
        </is>
      </c>
      <c r="CF163" t="n">
        <v>602541464</v>
      </c>
      <c r="CG163" t="inlineStr">
        <is>
          <t>b2a73a0d-d3e1-40c3-b49b-e3e9d635b3b1</t>
        </is>
      </c>
      <c r="CH163" s="1" t="n">
        <v>45971.71275462963</v>
      </c>
      <c r="CK163" t="inlineStr">
        <is>
          <t>submitted_via_web</t>
        </is>
      </c>
      <c r="CM163" t="inlineStr">
        <is>
          <t>vteYUDpqfKnk39PHFZkvPS</t>
        </is>
      </c>
      <c r="CO163" t="inlineStr">
        <is>
          <t>uuid:b2a73a0d-d3e1-40c3-b49b-e3e9d635b3b1</t>
        </is>
      </c>
      <c r="CP163" t="n">
        <v>162</v>
      </c>
      <c r="CQ163" t="n">
        <v>5</v>
      </c>
      <c r="CR163" t="n">
        <v>0.4641035858837596</v>
      </c>
    </row>
    <row r="164">
      <c r="A164" s="1" t="n">
        <v>45971.94191072917</v>
      </c>
      <c r="B164" s="1" t="n">
        <v>45971.94820517361</v>
      </c>
      <c r="D164" t="inlineStr">
        <is>
          <t>16</t>
        </is>
      </c>
      <c r="E164" t="inlineStr">
        <is>
          <t>Female</t>
        </is>
      </c>
      <c r="F164" t="inlineStr">
        <is>
          <t>Sinhalese</t>
        </is>
      </c>
      <c r="H164" t="inlineStr">
        <is>
          <t>Buddhist</t>
        </is>
      </c>
      <c r="J164" t="inlineStr">
        <is>
          <t>Not employed</t>
        </is>
      </c>
      <c r="L164" t="inlineStr">
        <is>
          <t xml:space="preserve">Up to O/L </t>
        </is>
      </c>
      <c r="M164" t="inlineStr">
        <is>
          <t>Western</t>
        </is>
      </c>
      <c r="N164" t="inlineStr">
        <is>
          <t>Single</t>
        </is>
      </c>
      <c r="P164" t="inlineStr">
        <is>
          <t>No</t>
        </is>
      </c>
      <c r="R164" s="1" t="n">
        <v>43779</v>
      </c>
      <c r="S164" t="inlineStr">
        <is>
          <t>Individual or family screening after a relative was diagnosed</t>
        </is>
      </c>
      <c r="U164" t="inlineStr">
        <is>
          <t>Yes</t>
        </is>
      </c>
      <c r="V164" t="inlineStr">
        <is>
          <t>Thalassemia major (severe form)   Thalassemia minor or trait (carrier form)</t>
        </is>
      </c>
      <c r="W164" t="n">
        <v>1</v>
      </c>
      <c r="X164" t="n">
        <v>1</v>
      </c>
      <c r="Y164" t="n">
        <v>0</v>
      </c>
      <c r="Z164" t="n">
        <v>0</v>
      </c>
      <c r="AA164" t="inlineStr">
        <is>
          <t xml:space="preserve">Thalassemia major (severe form)  </t>
        </is>
      </c>
      <c r="AB164" t="n">
        <v>1</v>
      </c>
      <c r="AC164" t="n">
        <v>0</v>
      </c>
      <c r="AD164" t="n">
        <v>0</v>
      </c>
      <c r="AE164" t="n">
        <v>0</v>
      </c>
      <c r="AF164" t="inlineStr">
        <is>
          <t>Thalassemia minor or trait (carrier form)</t>
        </is>
      </c>
      <c r="AG164" t="n">
        <v>0</v>
      </c>
      <c r="AH164" t="n">
        <v>1</v>
      </c>
      <c r="AI164" t="n">
        <v>0</v>
      </c>
      <c r="AJ164" t="n">
        <v>0</v>
      </c>
      <c r="AK164" t="inlineStr">
        <is>
          <t>Yes</t>
        </is>
      </c>
      <c r="AL164" t="inlineStr">
        <is>
          <t>Can be cured with common treatments</t>
        </is>
      </c>
      <c r="AM164" t="inlineStr">
        <is>
          <t xml:space="preserve">Can be prevented </t>
        </is>
      </c>
      <c r="AN164" t="inlineStr">
        <is>
          <t xml:space="preserve">From generation to generation (hereditary)  </t>
        </is>
      </c>
      <c r="AO164" t="inlineStr">
        <is>
          <t>Healthy</t>
        </is>
      </c>
      <c r="AP164" t="inlineStr">
        <is>
          <t xml:space="preserve">Has a chance to be affected (e.g., 25%) </t>
        </is>
      </c>
      <c r="AQ164" t="inlineStr">
        <is>
          <t xml:space="preserve">Yes </t>
        </is>
      </c>
      <c r="AR164" t="inlineStr">
        <is>
          <t>Don’t know</t>
        </is>
      </c>
      <c r="AS164" t="inlineStr">
        <is>
          <t>Regular blood transfusions for life  Delayed growth and puberty</t>
        </is>
      </c>
      <c r="AT164" t="n">
        <v>1</v>
      </c>
      <c r="AU164" t="n">
        <v>0</v>
      </c>
      <c r="AV164" t="n">
        <v>1</v>
      </c>
      <c r="AW164" t="n">
        <v>0</v>
      </c>
      <c r="AX164" t="n">
        <v>0</v>
      </c>
      <c r="AY164" t="n">
        <v>0</v>
      </c>
      <c r="AZ164" t="n">
        <v>0</v>
      </c>
      <c r="BA164" t="n">
        <v>0</v>
      </c>
      <c r="BB164" t="inlineStr">
        <is>
          <t xml:space="preserve"> Get the partner tested before marriage   Get family members tested </t>
        </is>
      </c>
      <c r="BC164" t="n">
        <v>1</v>
      </c>
      <c r="BD164" t="n">
        <v>1</v>
      </c>
      <c r="BE164" t="n">
        <v>0</v>
      </c>
      <c r="BF164" t="n">
        <v>0</v>
      </c>
      <c r="BG164" t="inlineStr">
        <is>
          <t>Only found out after screening</t>
        </is>
      </c>
      <c r="BH164" t="inlineStr">
        <is>
          <t>Definitely not</t>
        </is>
      </c>
      <c r="BI164" t="inlineStr">
        <is>
          <t xml:space="preserve">No </t>
        </is>
      </c>
      <c r="BJ164" t="inlineStr">
        <is>
          <t xml:space="preserve">Important </t>
        </is>
      </c>
      <c r="BK164" t="inlineStr">
        <is>
          <t>Other</t>
        </is>
      </c>
      <c r="BL164" t="inlineStr">
        <is>
          <t>No partner yet</t>
        </is>
      </c>
      <c r="BP164" t="inlineStr">
        <is>
          <t xml:space="preserve">Agree </t>
        </is>
      </c>
      <c r="BQ164" t="inlineStr">
        <is>
          <t xml:space="preserve">Yes </t>
        </is>
      </c>
      <c r="BS164" t="inlineStr">
        <is>
          <t>All</t>
        </is>
      </c>
      <c r="BT164" t="inlineStr">
        <is>
          <t>All</t>
        </is>
      </c>
      <c r="BU164" t="inlineStr">
        <is>
          <t>Some</t>
        </is>
      </c>
      <c r="BV164" t="inlineStr">
        <is>
          <t xml:space="preserve">Lack of knowledge </t>
        </is>
      </c>
      <c r="BW164" t="n">
        <v>1</v>
      </c>
      <c r="BX164" t="n">
        <v>0</v>
      </c>
      <c r="BY164" t="n">
        <v>0</v>
      </c>
      <c r="BZ164" t="n">
        <v>0</v>
      </c>
      <c r="CA164" t="n">
        <v>0</v>
      </c>
      <c r="CB164" t="n">
        <v>0</v>
      </c>
      <c r="CD164" t="inlineStr">
        <is>
          <t xml:space="preserve">Somewhat easy </t>
        </is>
      </c>
      <c r="CE164" t="inlineStr">
        <is>
          <t xml:space="preserve">Important </t>
        </is>
      </c>
      <c r="CF164" t="n">
        <v>602547451</v>
      </c>
      <c r="CG164" t="inlineStr">
        <is>
          <t>e988ed1c-d232-4bc6-85f7-22ff181c62f1</t>
        </is>
      </c>
      <c r="CH164" s="1" t="n">
        <v>45971.71905092592</v>
      </c>
      <c r="CK164" t="inlineStr">
        <is>
          <t>submitted_via_web</t>
        </is>
      </c>
      <c r="CM164" t="inlineStr">
        <is>
          <t>vteYUDpqfKnk39PHFZkvPS</t>
        </is>
      </c>
      <c r="CO164" t="inlineStr">
        <is>
          <t>uuid:e988ed1c-d232-4bc6-85f7-22ff181c62f1</t>
        </is>
      </c>
      <c r="CP164" t="n">
        <v>163</v>
      </c>
      <c r="CQ164" t="n">
        <v>4</v>
      </c>
      <c r="CR164" t="n">
        <v>0.07379052829950983</v>
      </c>
    </row>
    <row r="165">
      <c r="A165" s="1" t="n">
        <v>45971.94820585648</v>
      </c>
      <c r="B165" s="1" t="n">
        <v>45971.95604373843</v>
      </c>
      <c r="D165" t="inlineStr">
        <is>
          <t>27</t>
        </is>
      </c>
      <c r="E165" t="inlineStr">
        <is>
          <t>Female</t>
        </is>
      </c>
      <c r="F165" t="inlineStr">
        <is>
          <t>Sinhalese</t>
        </is>
      </c>
      <c r="H165" t="inlineStr">
        <is>
          <t>Buddhist</t>
        </is>
      </c>
      <c r="J165" t="inlineStr">
        <is>
          <t>Not employed</t>
        </is>
      </c>
      <c r="L165" t="inlineStr">
        <is>
          <t xml:space="preserve">Undergraduate </t>
        </is>
      </c>
      <c r="M165" t="inlineStr">
        <is>
          <t xml:space="preserve">North Central </t>
        </is>
      </c>
      <c r="N165" t="inlineStr">
        <is>
          <t>Single</t>
        </is>
      </c>
      <c r="P165" t="inlineStr">
        <is>
          <t xml:space="preserve"> Yes </t>
        </is>
      </c>
      <c r="Q165" t="inlineStr">
        <is>
          <t>Had thal carrier history</t>
        </is>
      </c>
      <c r="R165" s="1" t="n">
        <v>44875</v>
      </c>
      <c r="S165" t="inlineStr">
        <is>
          <t xml:space="preserve">During school/university  </t>
        </is>
      </c>
      <c r="U165" t="inlineStr">
        <is>
          <t>Yes</t>
        </is>
      </c>
      <c r="V165" t="inlineStr">
        <is>
          <t>Thalassemia major (severe form)   Thalassemia minor or trait (carrier form)</t>
        </is>
      </c>
      <c r="W165" t="n">
        <v>1</v>
      </c>
      <c r="X165" t="n">
        <v>1</v>
      </c>
      <c r="Y165" t="n">
        <v>0</v>
      </c>
      <c r="Z165" t="n">
        <v>0</v>
      </c>
      <c r="AA165" t="inlineStr">
        <is>
          <t xml:space="preserve">Thalassemia major (severe form)  </t>
        </is>
      </c>
      <c r="AB165" t="n">
        <v>1</v>
      </c>
      <c r="AC165" t="n">
        <v>0</v>
      </c>
      <c r="AD165" t="n">
        <v>0</v>
      </c>
      <c r="AE165" t="n">
        <v>0</v>
      </c>
      <c r="AF165" t="inlineStr">
        <is>
          <t>Thalassemia minor or trait (carrier form)</t>
        </is>
      </c>
      <c r="AG165" t="n">
        <v>0</v>
      </c>
      <c r="AH165" t="n">
        <v>1</v>
      </c>
      <c r="AI165" t="n">
        <v>0</v>
      </c>
      <c r="AJ165" t="n">
        <v>0</v>
      </c>
      <c r="AK165" t="inlineStr">
        <is>
          <t>Yes</t>
        </is>
      </c>
      <c r="AL165" t="inlineStr">
        <is>
          <t>Very difficult (e.g., bone marrow transplant)</t>
        </is>
      </c>
      <c r="AM165" t="inlineStr">
        <is>
          <t xml:space="preserve">Can be prevented </t>
        </is>
      </c>
      <c r="AN165" t="inlineStr">
        <is>
          <t xml:space="preserve">From generation to generation (hereditary)  </t>
        </is>
      </c>
      <c r="AO165" t="inlineStr">
        <is>
          <t>Healthy</t>
        </is>
      </c>
      <c r="AP165" t="inlineStr">
        <is>
          <t xml:space="preserve">Has a chance to be affected (e.g., 25%) </t>
        </is>
      </c>
      <c r="AQ165" t="inlineStr">
        <is>
          <t xml:space="preserve">Yes </t>
        </is>
      </c>
      <c r="AR165" t="inlineStr">
        <is>
          <t>Don’t know</t>
        </is>
      </c>
      <c r="AS165" t="inlineStr">
        <is>
          <t>Regular blood transfusions for life  Iron overload affecting heart and liver  Delayed growth and puberty Bone deformities</t>
        </is>
      </c>
      <c r="AT165" t="n">
        <v>1</v>
      </c>
      <c r="AU165" t="n">
        <v>1</v>
      </c>
      <c r="AV165" t="n">
        <v>1</v>
      </c>
      <c r="AW165" t="n">
        <v>0</v>
      </c>
      <c r="AX165" t="n">
        <v>0</v>
      </c>
      <c r="AY165" t="n">
        <v>0</v>
      </c>
      <c r="AZ165" t="n">
        <v>0</v>
      </c>
      <c r="BA165" t="n">
        <v>1</v>
      </c>
      <c r="BB165" t="inlineStr">
        <is>
          <t xml:space="preserve"> Get the partner tested before marriage   Get family members tested </t>
        </is>
      </c>
      <c r="BC165" t="n">
        <v>1</v>
      </c>
      <c r="BD165" t="n">
        <v>1</v>
      </c>
      <c r="BE165" t="n">
        <v>0</v>
      </c>
      <c r="BF165" t="n">
        <v>0</v>
      </c>
      <c r="BG165" t="inlineStr">
        <is>
          <t xml:space="preserve">Family </t>
        </is>
      </c>
      <c r="BH165" t="inlineStr">
        <is>
          <t>Definitely not</t>
        </is>
      </c>
      <c r="BI165" t="inlineStr">
        <is>
          <t xml:space="preserve">No </t>
        </is>
      </c>
      <c r="BJ165" t="inlineStr">
        <is>
          <t xml:space="preserve">Very important </t>
        </is>
      </c>
      <c r="BK165" t="inlineStr">
        <is>
          <t>Other</t>
        </is>
      </c>
      <c r="BL165" t="inlineStr">
        <is>
          <t>No partner yet</t>
        </is>
      </c>
      <c r="BM165" t="inlineStr">
        <is>
          <t xml:space="preserve"> Lack of understanding about its importance </t>
        </is>
      </c>
      <c r="BP165" t="inlineStr">
        <is>
          <t xml:space="preserve">Agree </t>
        </is>
      </c>
      <c r="BQ165" t="inlineStr">
        <is>
          <t xml:space="preserve">Yes </t>
        </is>
      </c>
      <c r="BS165" t="inlineStr">
        <is>
          <t>All</t>
        </is>
      </c>
      <c r="BT165" t="inlineStr">
        <is>
          <t>Some</t>
        </is>
      </c>
      <c r="BU165" t="inlineStr">
        <is>
          <t>Some</t>
        </is>
      </c>
      <c r="CD165" t="inlineStr">
        <is>
          <t xml:space="preserve">Very easy </t>
        </is>
      </c>
      <c r="CE165" t="inlineStr">
        <is>
          <t xml:space="preserve"> Very important</t>
        </is>
      </c>
      <c r="CF165" t="n">
        <v>602556270</v>
      </c>
      <c r="CG165" t="inlineStr">
        <is>
          <t>19dd920a-3f21-4625-9844-a3382a8f7055</t>
        </is>
      </c>
      <c r="CH165" s="1" t="n">
        <v>45971.72688657408</v>
      </c>
      <c r="CK165" t="inlineStr">
        <is>
          <t>submitted_via_web</t>
        </is>
      </c>
      <c r="CM165" t="inlineStr">
        <is>
          <t>vteYUDpqfKnk39PHFZkvPS</t>
        </is>
      </c>
      <c r="CO165" t="inlineStr">
        <is>
          <t>uuid:19dd920a-3f21-4625-9844-a3382a8f7055</t>
        </is>
      </c>
      <c r="CP165" t="n">
        <v>164</v>
      </c>
      <c r="CQ165" t="n">
        <v>6</v>
      </c>
      <c r="CR165" t="n">
        <v>0.8544166434680093</v>
      </c>
    </row>
    <row r="166">
      <c r="A166" s="1" t="n">
        <v>46077.56025372685</v>
      </c>
      <c r="B166" s="1" t="n">
        <v>46077.57466210648</v>
      </c>
      <c r="D166" t="inlineStr">
        <is>
          <t>26</t>
        </is>
      </c>
      <c r="E166" t="inlineStr">
        <is>
          <t>Female</t>
        </is>
      </c>
      <c r="F166" t="inlineStr">
        <is>
          <t>Sinhalese</t>
        </is>
      </c>
      <c r="H166" t="inlineStr">
        <is>
          <t>Buddhist</t>
        </is>
      </c>
      <c r="J166" t="inlineStr">
        <is>
          <t>Private sector</t>
        </is>
      </c>
      <c r="K166" t="inlineStr">
        <is>
          <t>51,000 – 100,000</t>
        </is>
      </c>
      <c r="L166" t="inlineStr">
        <is>
          <t xml:space="preserve">Up to A/L </t>
        </is>
      </c>
      <c r="M166" t="inlineStr">
        <is>
          <t xml:space="preserve">North Western </t>
        </is>
      </c>
      <c r="N166" t="inlineStr">
        <is>
          <t>Single</t>
        </is>
      </c>
      <c r="P166" t="inlineStr">
        <is>
          <t>No</t>
        </is>
      </c>
      <c r="R166" s="1" t="n">
        <v>45712</v>
      </c>
      <c r="S166" t="inlineStr">
        <is>
          <t>At workplace</t>
        </is>
      </c>
      <c r="U166" t="inlineStr">
        <is>
          <t>Yes</t>
        </is>
      </c>
      <c r="V166" t="inlineStr">
        <is>
          <t>Thalassemia major (severe form)   Thalassemia minor or trait (carrier form)</t>
        </is>
      </c>
      <c r="W166" t="n">
        <v>1</v>
      </c>
      <c r="X166" t="n">
        <v>1</v>
      </c>
      <c r="Y166" t="n">
        <v>0</v>
      </c>
      <c r="Z166" t="n">
        <v>0</v>
      </c>
      <c r="AA166" t="inlineStr">
        <is>
          <t xml:space="preserve">Thalassemia major (severe form)  </t>
        </is>
      </c>
      <c r="AB166" t="n">
        <v>1</v>
      </c>
      <c r="AC166" t="n">
        <v>0</v>
      </c>
      <c r="AD166" t="n">
        <v>0</v>
      </c>
      <c r="AE166" t="n">
        <v>0</v>
      </c>
      <c r="AF166" t="inlineStr">
        <is>
          <t>Thalassemia minor or trait (carrier form)</t>
        </is>
      </c>
      <c r="AG166" t="n">
        <v>0</v>
      </c>
      <c r="AH166" t="n">
        <v>1</v>
      </c>
      <c r="AI166" t="n">
        <v>0</v>
      </c>
      <c r="AJ166" t="n">
        <v>0</v>
      </c>
      <c r="AK166" t="inlineStr">
        <is>
          <t>Yes</t>
        </is>
      </c>
      <c r="AL166" t="inlineStr">
        <is>
          <t xml:space="preserve">Cannot be cured   </t>
        </is>
      </c>
      <c r="AM166" t="inlineStr">
        <is>
          <t xml:space="preserve">Can be prevented </t>
        </is>
      </c>
      <c r="AN166" t="inlineStr">
        <is>
          <t xml:space="preserve">From generation to generation (hereditary)  </t>
        </is>
      </c>
      <c r="AO166" t="inlineStr">
        <is>
          <t>Healthy</t>
        </is>
      </c>
      <c r="AP166" t="inlineStr">
        <is>
          <t xml:space="preserve">Has a chance to be affected (e.g., 25%) </t>
        </is>
      </c>
      <c r="AQ166" t="inlineStr">
        <is>
          <t xml:space="preserve">Yes </t>
        </is>
      </c>
      <c r="AR166" t="inlineStr">
        <is>
          <t>Don’t know</t>
        </is>
      </c>
      <c r="AS166" t="inlineStr">
        <is>
          <t xml:space="preserve">Regular blood transfusions for life </t>
        </is>
      </c>
      <c r="AT166" t="n">
        <v>1</v>
      </c>
      <c r="AU166" t="n">
        <v>0</v>
      </c>
      <c r="AV166" t="n">
        <v>0</v>
      </c>
      <c r="AW166" t="n">
        <v>0</v>
      </c>
      <c r="AX166" t="n">
        <v>0</v>
      </c>
      <c r="AY166" t="n">
        <v>0</v>
      </c>
      <c r="AZ166" t="n">
        <v>0</v>
      </c>
      <c r="BA166" t="n">
        <v>0</v>
      </c>
      <c r="BB166" t="inlineStr">
        <is>
          <t xml:space="preserve"> Get the partner tested before marriage   Get family members tested </t>
        </is>
      </c>
      <c r="BC166" t="n">
        <v>1</v>
      </c>
      <c r="BD166" t="n">
        <v>1</v>
      </c>
      <c r="BE166" t="n">
        <v>0</v>
      </c>
      <c r="BF166" t="n">
        <v>0</v>
      </c>
      <c r="BG166" t="inlineStr">
        <is>
          <t xml:space="preserve">School  </t>
        </is>
      </c>
      <c r="BH166" t="inlineStr">
        <is>
          <t>Definitely not</t>
        </is>
      </c>
      <c r="BI166" t="inlineStr">
        <is>
          <t xml:space="preserve">Yes </t>
        </is>
      </c>
      <c r="BJ166" t="inlineStr">
        <is>
          <t xml:space="preserve">Important </t>
        </is>
      </c>
      <c r="BK166" t="inlineStr">
        <is>
          <t xml:space="preserve">Did not screen partner </t>
        </is>
      </c>
      <c r="BP166" t="inlineStr">
        <is>
          <t xml:space="preserve">Agree </t>
        </is>
      </c>
      <c r="BQ166" t="inlineStr">
        <is>
          <t xml:space="preserve">Yes </t>
        </is>
      </c>
      <c r="BS166" t="inlineStr">
        <is>
          <t>Some</t>
        </is>
      </c>
      <c r="BT166" t="inlineStr">
        <is>
          <t>None</t>
        </is>
      </c>
      <c r="BU166" t="inlineStr">
        <is>
          <t>None</t>
        </is>
      </c>
      <c r="BV166" t="inlineStr">
        <is>
          <t xml:space="preserve">Lack of knowledge </t>
        </is>
      </c>
      <c r="BW166" t="n">
        <v>1</v>
      </c>
      <c r="BX166" t="n">
        <v>0</v>
      </c>
      <c r="BY166" t="n">
        <v>0</v>
      </c>
      <c r="BZ166" t="n">
        <v>0</v>
      </c>
      <c r="CA166" t="n">
        <v>0</v>
      </c>
      <c r="CB166" t="n">
        <v>0</v>
      </c>
      <c r="CD166" t="inlineStr">
        <is>
          <t xml:space="preserve">Difficult </t>
        </is>
      </c>
      <c r="CE166" t="inlineStr">
        <is>
          <t xml:space="preserve">Important </t>
        </is>
      </c>
      <c r="CF166" t="n">
        <v>678738086</v>
      </c>
      <c r="CG166" t="inlineStr">
        <is>
          <t>b151e595-828b-4aaf-adb2-8796ac66c370</t>
        </is>
      </c>
      <c r="CH166" s="1" t="n">
        <v>46077.34550925926</v>
      </c>
      <c r="CK166" t="inlineStr">
        <is>
          <t>submitted_via_web</t>
        </is>
      </c>
      <c r="CM166" t="inlineStr">
        <is>
          <t>vteYUDpqfKnk39PHFZkvPS</t>
        </is>
      </c>
      <c r="CO166" t="inlineStr">
        <is>
          <t>uuid:b151e595-828b-4aaf-adb2-8796ac66c370</t>
        </is>
      </c>
      <c r="CP166" t="n">
        <v>165</v>
      </c>
      <c r="CQ166" t="n">
        <v>3</v>
      </c>
      <c r="CR166" t="n">
        <v>-0.3165225292847399</v>
      </c>
    </row>
    <row r="167">
      <c r="A167" s="1" t="n">
        <v>46077.57466305556</v>
      </c>
      <c r="B167" s="1" t="n">
        <v>46077.58092899305</v>
      </c>
      <c r="D167" t="inlineStr">
        <is>
          <t>23</t>
        </is>
      </c>
      <c r="E167" t="inlineStr">
        <is>
          <t xml:space="preserve">Male </t>
        </is>
      </c>
      <c r="F167" t="inlineStr">
        <is>
          <t>Sinhalese</t>
        </is>
      </c>
      <c r="H167" t="inlineStr">
        <is>
          <t>Buddhist</t>
        </is>
      </c>
      <c r="J167" t="inlineStr">
        <is>
          <t>Private sector</t>
        </is>
      </c>
      <c r="K167" t="inlineStr">
        <is>
          <t>25,000 – 50,000</t>
        </is>
      </c>
      <c r="L167" t="inlineStr">
        <is>
          <t xml:space="preserve">Up to O/L </t>
        </is>
      </c>
      <c r="M167" t="inlineStr">
        <is>
          <t xml:space="preserve">Central </t>
        </is>
      </c>
      <c r="N167" t="inlineStr">
        <is>
          <t xml:space="preserve">Married </t>
        </is>
      </c>
      <c r="O167" t="inlineStr">
        <is>
          <t>No children</t>
        </is>
      </c>
      <c r="P167" t="inlineStr">
        <is>
          <t>No</t>
        </is>
      </c>
      <c r="R167" s="1" t="n">
        <v>45346</v>
      </c>
      <c r="S167" t="inlineStr">
        <is>
          <t>At workplace</t>
        </is>
      </c>
      <c r="U167" t="inlineStr">
        <is>
          <t>Yes</t>
        </is>
      </c>
      <c r="V167" t="inlineStr">
        <is>
          <t>I don’t know</t>
        </is>
      </c>
      <c r="W167" t="n">
        <v>0</v>
      </c>
      <c r="X167" t="n">
        <v>0</v>
      </c>
      <c r="Y167" t="n">
        <v>0</v>
      </c>
      <c r="Z167" t="n">
        <v>1</v>
      </c>
      <c r="AA167" t="inlineStr">
        <is>
          <t>I don’t know</t>
        </is>
      </c>
      <c r="AB167" t="n">
        <v>0</v>
      </c>
      <c r="AC167" t="n">
        <v>0</v>
      </c>
      <c r="AD167" t="n">
        <v>0</v>
      </c>
      <c r="AE167" t="n">
        <v>1</v>
      </c>
      <c r="AF167" t="inlineStr">
        <is>
          <t>I don’t know</t>
        </is>
      </c>
      <c r="AG167" t="n">
        <v>0</v>
      </c>
      <c r="AH167" t="n">
        <v>0</v>
      </c>
      <c r="AI167" t="n">
        <v>0</v>
      </c>
      <c r="AJ167" t="n">
        <v>1</v>
      </c>
      <c r="AK167" t="inlineStr">
        <is>
          <t>Yes</t>
        </is>
      </c>
      <c r="AL167" t="inlineStr">
        <is>
          <t>Don’t know</t>
        </is>
      </c>
      <c r="AM167" t="inlineStr">
        <is>
          <t>Not sure</t>
        </is>
      </c>
      <c r="AN167" t="inlineStr">
        <is>
          <t xml:space="preserve">From generation to generation (hereditary)  </t>
        </is>
      </c>
      <c r="AO167" t="inlineStr">
        <is>
          <t xml:space="preserve">Not healthy  </t>
        </is>
      </c>
      <c r="AP167" t="inlineStr">
        <is>
          <t xml:space="preserve">Has a chance to be affected (e.g., 25%) </t>
        </is>
      </c>
      <c r="AQ167" t="inlineStr">
        <is>
          <t xml:space="preserve">Yes </t>
        </is>
      </c>
      <c r="AR167" t="inlineStr">
        <is>
          <t>Don’t know</t>
        </is>
      </c>
      <c r="BB167" t="inlineStr">
        <is>
          <t xml:space="preserve"> Get the partner tested before marriage   Get family members tested </t>
        </is>
      </c>
      <c r="BC167" t="n">
        <v>1</v>
      </c>
      <c r="BD167" t="n">
        <v>1</v>
      </c>
      <c r="BE167" t="n">
        <v>0</v>
      </c>
      <c r="BF167" t="n">
        <v>0</v>
      </c>
      <c r="BG167" t="inlineStr">
        <is>
          <t xml:space="preserve">Healthcare staff (doctors and nurses) </t>
        </is>
      </c>
      <c r="BH167" t="inlineStr">
        <is>
          <t>Definitely not</t>
        </is>
      </c>
      <c r="BI167" t="inlineStr">
        <is>
          <t xml:space="preserve">No </t>
        </is>
      </c>
      <c r="BJ167" t="inlineStr">
        <is>
          <t xml:space="preserve">Very important </t>
        </is>
      </c>
      <c r="BK167" t="inlineStr">
        <is>
          <t xml:space="preserve">Did not screen partner </t>
        </is>
      </c>
      <c r="BM167" t="inlineStr">
        <is>
          <t xml:space="preserve">Did not think it was necessary </t>
        </is>
      </c>
      <c r="BP167" t="inlineStr">
        <is>
          <t xml:space="preserve">Agree </t>
        </is>
      </c>
      <c r="BQ167" t="inlineStr">
        <is>
          <t xml:space="preserve">Yes </t>
        </is>
      </c>
      <c r="BS167" t="inlineStr">
        <is>
          <t>None</t>
        </is>
      </c>
      <c r="BT167" t="inlineStr">
        <is>
          <t>None</t>
        </is>
      </c>
      <c r="BU167" t="inlineStr">
        <is>
          <t>None</t>
        </is>
      </c>
      <c r="BV167" t="inlineStr">
        <is>
          <t>Other</t>
        </is>
      </c>
      <c r="BW167" t="n">
        <v>0</v>
      </c>
      <c r="BX167" t="n">
        <v>0</v>
      </c>
      <c r="BY167" t="n">
        <v>0</v>
      </c>
      <c r="BZ167" t="n">
        <v>0</v>
      </c>
      <c r="CA167" t="n">
        <v>0</v>
      </c>
      <c r="CB167" t="n">
        <v>1</v>
      </c>
      <c r="CD167" t="inlineStr">
        <is>
          <t>Not sure</t>
        </is>
      </c>
      <c r="CE167" t="inlineStr">
        <is>
          <t xml:space="preserve">Important </t>
        </is>
      </c>
      <c r="CF167" t="n">
        <v>678747273</v>
      </c>
      <c r="CG167" t="inlineStr">
        <is>
          <t>92c290a7-6bea-4776-9b4f-2bd602870e1e</t>
        </is>
      </c>
      <c r="CH167" s="1" t="n">
        <v>46077.35178240741</v>
      </c>
      <c r="CK167" t="inlineStr">
        <is>
          <t>submitted_via_web</t>
        </is>
      </c>
      <c r="CM167" t="inlineStr">
        <is>
          <t>vteYUDpqfKnk39PHFZkvPS</t>
        </is>
      </c>
      <c r="CO167" t="inlineStr">
        <is>
          <t>uuid:92c290a7-6bea-4776-9b4f-2bd602870e1e</t>
        </is>
      </c>
      <c r="CP167" t="n">
        <v>166</v>
      </c>
      <c r="CQ167" t="n">
        <v>0</v>
      </c>
      <c r="CR167" t="n">
        <v>-1.487461702037489</v>
      </c>
    </row>
    <row r="168">
      <c r="A168" s="1" t="n">
        <v>46077.58092969908</v>
      </c>
      <c r="B168" s="1" t="n">
        <v>46077.58834053241</v>
      </c>
      <c r="D168" t="inlineStr">
        <is>
          <t>40</t>
        </is>
      </c>
      <c r="E168" t="inlineStr">
        <is>
          <t xml:space="preserve">Male </t>
        </is>
      </c>
      <c r="F168" t="inlineStr">
        <is>
          <t>Sinhalese</t>
        </is>
      </c>
      <c r="H168" t="inlineStr">
        <is>
          <t>Buddhist</t>
        </is>
      </c>
      <c r="J168" t="inlineStr">
        <is>
          <t>Government sector</t>
        </is>
      </c>
      <c r="K168" t="inlineStr">
        <is>
          <t>51,000 – 100,000</t>
        </is>
      </c>
      <c r="L168" t="inlineStr">
        <is>
          <t xml:space="preserve">Up to A/L </t>
        </is>
      </c>
      <c r="M168" t="inlineStr">
        <is>
          <t xml:space="preserve">North Western </t>
        </is>
      </c>
      <c r="N168" t="inlineStr">
        <is>
          <t xml:space="preserve">Married </t>
        </is>
      </c>
      <c r="O168" t="inlineStr">
        <is>
          <t xml:space="preserve">Yes, only one child </t>
        </is>
      </c>
      <c r="P168" t="inlineStr">
        <is>
          <t xml:space="preserve"> Yes </t>
        </is>
      </c>
      <c r="Q168" t="inlineStr">
        <is>
          <t>father had thal trait</t>
        </is>
      </c>
      <c r="R168" s="1" t="n">
        <v>44981</v>
      </c>
      <c r="S168" t="inlineStr">
        <is>
          <t xml:space="preserve">During school/university  </t>
        </is>
      </c>
      <c r="U168" t="inlineStr">
        <is>
          <t>Yes</t>
        </is>
      </c>
      <c r="V168" t="inlineStr">
        <is>
          <t>I don’t know</t>
        </is>
      </c>
      <c r="W168" t="n">
        <v>0</v>
      </c>
      <c r="X168" t="n">
        <v>0</v>
      </c>
      <c r="Y168" t="n">
        <v>0</v>
      </c>
      <c r="Z168" t="n">
        <v>1</v>
      </c>
      <c r="AA168" t="inlineStr">
        <is>
          <t>I don’t know</t>
        </is>
      </c>
      <c r="AB168" t="n">
        <v>0</v>
      </c>
      <c r="AC168" t="n">
        <v>0</v>
      </c>
      <c r="AD168" t="n">
        <v>0</v>
      </c>
      <c r="AE168" t="n">
        <v>1</v>
      </c>
      <c r="AF168" t="inlineStr">
        <is>
          <t>I don’t know</t>
        </is>
      </c>
      <c r="AG168" t="n">
        <v>0</v>
      </c>
      <c r="AH168" t="n">
        <v>0</v>
      </c>
      <c r="AI168" t="n">
        <v>0</v>
      </c>
      <c r="AJ168" t="n">
        <v>1</v>
      </c>
      <c r="AK168" t="inlineStr">
        <is>
          <t>Yes</t>
        </is>
      </c>
      <c r="AL168" t="inlineStr">
        <is>
          <t xml:space="preserve">Cannot be cured   </t>
        </is>
      </c>
      <c r="AM168" t="inlineStr">
        <is>
          <t>Not sure</t>
        </is>
      </c>
      <c r="AN168" t="inlineStr">
        <is>
          <t xml:space="preserve">From generation to generation (hereditary)  </t>
        </is>
      </c>
      <c r="AO168" t="inlineStr">
        <is>
          <t>Healthy</t>
        </is>
      </c>
      <c r="AP168" t="inlineStr">
        <is>
          <t>Don’t know</t>
        </is>
      </c>
      <c r="AQ168" t="inlineStr">
        <is>
          <t>No</t>
        </is>
      </c>
      <c r="AR168" t="inlineStr">
        <is>
          <t>Don’t know</t>
        </is>
      </c>
      <c r="BB168" t="inlineStr">
        <is>
          <t xml:space="preserve"> Get the partner tested before marriage   Get family members tested </t>
        </is>
      </c>
      <c r="BC168" t="n">
        <v>1</v>
      </c>
      <c r="BD168" t="n">
        <v>1</v>
      </c>
      <c r="BE168" t="n">
        <v>0</v>
      </c>
      <c r="BF168" t="n">
        <v>0</v>
      </c>
      <c r="BG168" t="inlineStr">
        <is>
          <t xml:space="preserve">School  </t>
        </is>
      </c>
      <c r="BH168" t="inlineStr">
        <is>
          <t>Definitely not</t>
        </is>
      </c>
      <c r="BI168" t="inlineStr">
        <is>
          <t>Not sure</t>
        </is>
      </c>
      <c r="BJ168" t="inlineStr">
        <is>
          <t xml:space="preserve">Important </t>
        </is>
      </c>
      <c r="BP168" t="inlineStr">
        <is>
          <t xml:space="preserve">Agree </t>
        </is>
      </c>
      <c r="BQ168" t="inlineStr">
        <is>
          <t xml:space="preserve">Yes </t>
        </is>
      </c>
      <c r="BS168" t="inlineStr">
        <is>
          <t>Some</t>
        </is>
      </c>
      <c r="BT168" t="inlineStr">
        <is>
          <t>None</t>
        </is>
      </c>
      <c r="BU168" t="inlineStr">
        <is>
          <t>None</t>
        </is>
      </c>
      <c r="BV168" t="inlineStr">
        <is>
          <t>Cost or access issues</t>
        </is>
      </c>
      <c r="BW168" t="n">
        <v>0</v>
      </c>
      <c r="BX168" t="n">
        <v>0</v>
      </c>
      <c r="BY168" t="n">
        <v>0</v>
      </c>
      <c r="BZ168" t="n">
        <v>0</v>
      </c>
      <c r="CA168" t="n">
        <v>1</v>
      </c>
      <c r="CB168" t="n">
        <v>0</v>
      </c>
      <c r="CD168" t="inlineStr">
        <is>
          <t xml:space="preserve">Difficult </t>
        </is>
      </c>
      <c r="CE168" t="inlineStr">
        <is>
          <t xml:space="preserve">Important </t>
        </is>
      </c>
      <c r="CF168" t="n">
        <v>678757021</v>
      </c>
      <c r="CG168" t="inlineStr">
        <is>
          <t>d079499b-e3d5-412d-a294-c8031abcf413</t>
        </is>
      </c>
      <c r="CH168" s="1" t="n">
        <v>46077.35924768518</v>
      </c>
      <c r="CK168" t="inlineStr">
        <is>
          <t>submitted_via_web</t>
        </is>
      </c>
      <c r="CM168" t="inlineStr">
        <is>
          <t>vteYUDpqfKnk39PHFZkvPS</t>
        </is>
      </c>
      <c r="CO168" t="inlineStr">
        <is>
          <t>uuid:d079499b-e3d5-412d-a294-c8031abcf413</t>
        </is>
      </c>
      <c r="CP168" t="n">
        <v>167</v>
      </c>
      <c r="CQ168" t="n">
        <v>0</v>
      </c>
      <c r="CR168" t="n">
        <v>-1.487461702037489</v>
      </c>
    </row>
    <row r="169">
      <c r="A169" s="1" t="n">
        <v>46077.58834174769</v>
      </c>
      <c r="B169" s="1" t="n">
        <v>46077.5947014699</v>
      </c>
      <c r="D169" t="inlineStr">
        <is>
          <t>25</t>
        </is>
      </c>
      <c r="E169" t="inlineStr">
        <is>
          <t xml:space="preserve">Male </t>
        </is>
      </c>
      <c r="F169" t="inlineStr">
        <is>
          <t>Sinhalese</t>
        </is>
      </c>
      <c r="H169" t="inlineStr">
        <is>
          <t>Buddhist</t>
        </is>
      </c>
      <c r="J169" t="inlineStr">
        <is>
          <t>Private sector</t>
        </is>
      </c>
      <c r="K169" t="inlineStr">
        <is>
          <t>51,000 – 100,000</t>
        </is>
      </c>
      <c r="L169" t="inlineStr">
        <is>
          <t xml:space="preserve">Graduate </t>
        </is>
      </c>
      <c r="M169" t="inlineStr">
        <is>
          <t>Western</t>
        </is>
      </c>
      <c r="N169" t="inlineStr">
        <is>
          <t>Single</t>
        </is>
      </c>
      <c r="P169" t="inlineStr">
        <is>
          <t>No</t>
        </is>
      </c>
      <c r="R169" s="1" t="n">
        <v>44981</v>
      </c>
      <c r="S169" t="inlineStr">
        <is>
          <t xml:space="preserve">During school/university  </t>
        </is>
      </c>
      <c r="U169" t="inlineStr">
        <is>
          <t>Yes</t>
        </is>
      </c>
      <c r="V169" t="inlineStr">
        <is>
          <t>Thalassemia major (severe form)   Thalassemia minor or trait (carrier form)</t>
        </is>
      </c>
      <c r="W169" t="n">
        <v>1</v>
      </c>
      <c r="X169" t="n">
        <v>1</v>
      </c>
      <c r="Y169" t="n">
        <v>0</v>
      </c>
      <c r="Z169" t="n">
        <v>0</v>
      </c>
      <c r="AA169" t="inlineStr">
        <is>
          <t xml:space="preserve">Thalassemia major (severe form)  </t>
        </is>
      </c>
      <c r="AB169" t="n">
        <v>1</v>
      </c>
      <c r="AC169" t="n">
        <v>0</v>
      </c>
      <c r="AD169" t="n">
        <v>0</v>
      </c>
      <c r="AE169" t="n">
        <v>0</v>
      </c>
      <c r="AF169" t="inlineStr">
        <is>
          <t>Thalassemia minor or trait (carrier form)</t>
        </is>
      </c>
      <c r="AG169" t="n">
        <v>0</v>
      </c>
      <c r="AH169" t="n">
        <v>1</v>
      </c>
      <c r="AI169" t="n">
        <v>0</v>
      </c>
      <c r="AJ169" t="n">
        <v>0</v>
      </c>
      <c r="AK169" t="inlineStr">
        <is>
          <t>No</t>
        </is>
      </c>
      <c r="AL169" t="inlineStr">
        <is>
          <t>Don’t know</t>
        </is>
      </c>
      <c r="AM169" t="inlineStr">
        <is>
          <t xml:space="preserve">Can be prevented </t>
        </is>
      </c>
      <c r="AN169" t="inlineStr">
        <is>
          <t xml:space="preserve">From generation to generation (hereditary)  </t>
        </is>
      </c>
      <c r="AO169" t="inlineStr">
        <is>
          <t>Healthy</t>
        </is>
      </c>
      <c r="AP169" t="inlineStr">
        <is>
          <t xml:space="preserve">Has a chance to be affected (e.g., 25%) </t>
        </is>
      </c>
      <c r="AQ169" t="inlineStr">
        <is>
          <t xml:space="preserve">Yes </t>
        </is>
      </c>
      <c r="AR169" t="inlineStr">
        <is>
          <t>Don’t know</t>
        </is>
      </c>
      <c r="AS169" t="inlineStr">
        <is>
          <t>Regular blood transfusions for life  Risk of infections from transfusions</t>
        </is>
      </c>
      <c r="AT169" t="n">
        <v>1</v>
      </c>
      <c r="AU169" t="n">
        <v>0</v>
      </c>
      <c r="AV169" t="n">
        <v>0</v>
      </c>
      <c r="AW169" t="n">
        <v>0</v>
      </c>
      <c r="AX169" t="n">
        <v>1</v>
      </c>
      <c r="AY169" t="n">
        <v>0</v>
      </c>
      <c r="AZ169" t="n">
        <v>0</v>
      </c>
      <c r="BA169" t="n">
        <v>0</v>
      </c>
      <c r="BB169" t="inlineStr">
        <is>
          <t xml:space="preserve"> Get the partner tested before marriage   Get family members tested </t>
        </is>
      </c>
      <c r="BC169" t="n">
        <v>1</v>
      </c>
      <c r="BD169" t="n">
        <v>1</v>
      </c>
      <c r="BE169" t="n">
        <v>0</v>
      </c>
      <c r="BF169" t="n">
        <v>0</v>
      </c>
      <c r="BG169" t="inlineStr">
        <is>
          <t xml:space="preserve">School  </t>
        </is>
      </c>
      <c r="BH169" t="inlineStr">
        <is>
          <t>Definitely not</t>
        </is>
      </c>
      <c r="BI169" t="inlineStr">
        <is>
          <t xml:space="preserve">No </t>
        </is>
      </c>
      <c r="BJ169" t="inlineStr">
        <is>
          <t xml:space="preserve">Very important </t>
        </is>
      </c>
      <c r="BP169" t="inlineStr">
        <is>
          <t xml:space="preserve">Agree </t>
        </is>
      </c>
      <c r="BQ169" t="inlineStr">
        <is>
          <t>No</t>
        </is>
      </c>
      <c r="BS169" t="inlineStr">
        <is>
          <t>None</t>
        </is>
      </c>
      <c r="BT169" t="inlineStr">
        <is>
          <t>None</t>
        </is>
      </c>
      <c r="BU169" t="inlineStr">
        <is>
          <t>None</t>
        </is>
      </c>
      <c r="BV169" t="inlineStr">
        <is>
          <t>Perception that screening was unnecessary</t>
        </is>
      </c>
      <c r="BW169" t="n">
        <v>0</v>
      </c>
      <c r="BX169" t="n">
        <v>0</v>
      </c>
      <c r="BY169" t="n">
        <v>0</v>
      </c>
      <c r="BZ169" t="n">
        <v>1</v>
      </c>
      <c r="CA169" t="n">
        <v>0</v>
      </c>
      <c r="CB169" t="n">
        <v>0</v>
      </c>
      <c r="CD169" t="inlineStr">
        <is>
          <t xml:space="preserve">Difficult </t>
        </is>
      </c>
      <c r="CE169" t="inlineStr">
        <is>
          <t xml:space="preserve">Slightly important </t>
        </is>
      </c>
      <c r="CF169" t="n">
        <v>678765488</v>
      </c>
      <c r="CG169" t="inlineStr">
        <is>
          <t>22634f7f-3a17-421d-adb7-973eb4d51cef</t>
        </is>
      </c>
      <c r="CH169" s="1" t="n">
        <v>46077.36554398148</v>
      </c>
      <c r="CK169" t="inlineStr">
        <is>
          <t>submitted_via_web</t>
        </is>
      </c>
      <c r="CM169" t="inlineStr">
        <is>
          <t>vteYUDpqfKnk39PHFZkvPS</t>
        </is>
      </c>
      <c r="CO169" t="inlineStr">
        <is>
          <t>uuid:22634f7f-3a17-421d-adb7-973eb4d51cef</t>
        </is>
      </c>
      <c r="CP169" t="n">
        <v>168</v>
      </c>
      <c r="CQ169" t="n">
        <v>4</v>
      </c>
      <c r="CR169" t="n">
        <v>0.07379052829950983</v>
      </c>
    </row>
    <row r="170">
      <c r="A170" s="1" t="n">
        <v>46077.59470274305</v>
      </c>
      <c r="B170" s="1" t="n">
        <v>46077.60377518518</v>
      </c>
      <c r="D170" t="inlineStr">
        <is>
          <t>30</t>
        </is>
      </c>
      <c r="E170" t="inlineStr">
        <is>
          <t xml:space="preserve">Male </t>
        </is>
      </c>
      <c r="F170" t="inlineStr">
        <is>
          <t>Sinhalese</t>
        </is>
      </c>
      <c r="H170" t="inlineStr">
        <is>
          <t>Christian</t>
        </is>
      </c>
      <c r="J170" t="inlineStr">
        <is>
          <t>Government sector</t>
        </is>
      </c>
      <c r="K170" t="inlineStr">
        <is>
          <t>&gt; 100,000</t>
        </is>
      </c>
      <c r="L170" t="inlineStr">
        <is>
          <t xml:space="preserve">Up to A/L </t>
        </is>
      </c>
      <c r="M170" t="inlineStr">
        <is>
          <t>Western</t>
        </is>
      </c>
      <c r="N170" t="inlineStr">
        <is>
          <t xml:space="preserve">Married </t>
        </is>
      </c>
      <c r="O170" t="inlineStr">
        <is>
          <t xml:space="preserve">Yes, more than one child </t>
        </is>
      </c>
      <c r="P170" t="inlineStr">
        <is>
          <t xml:space="preserve"> Yes </t>
        </is>
      </c>
      <c r="Q170" t="inlineStr">
        <is>
          <t>Thallasemia trait</t>
        </is>
      </c>
      <c r="R170" s="1" t="n">
        <v>44981</v>
      </c>
      <c r="S170" t="inlineStr">
        <is>
          <t>During community screening</t>
        </is>
      </c>
      <c r="U170" t="inlineStr">
        <is>
          <t>Yes</t>
        </is>
      </c>
      <c r="V170" t="inlineStr">
        <is>
          <t>Thalassemia major (severe form)   Thalassemia minor or trait (carrier form)</t>
        </is>
      </c>
      <c r="W170" t="n">
        <v>1</v>
      </c>
      <c r="X170" t="n">
        <v>1</v>
      </c>
      <c r="Y170" t="n">
        <v>0</v>
      </c>
      <c r="Z170" t="n">
        <v>0</v>
      </c>
      <c r="AA170" t="inlineStr">
        <is>
          <t xml:space="preserve">Thalassemia major (severe form)  </t>
        </is>
      </c>
      <c r="AB170" t="n">
        <v>1</v>
      </c>
      <c r="AC170" t="n">
        <v>0</v>
      </c>
      <c r="AD170" t="n">
        <v>0</v>
      </c>
      <c r="AE170" t="n">
        <v>0</v>
      </c>
      <c r="AF170" t="inlineStr">
        <is>
          <t>Thalassemia minor or trait (carrier form)</t>
        </is>
      </c>
      <c r="AG170" t="n">
        <v>0</v>
      </c>
      <c r="AH170" t="n">
        <v>1</v>
      </c>
      <c r="AI170" t="n">
        <v>0</v>
      </c>
      <c r="AJ170" t="n">
        <v>0</v>
      </c>
      <c r="AK170" t="inlineStr">
        <is>
          <t>Don’t know</t>
        </is>
      </c>
      <c r="AL170" t="inlineStr">
        <is>
          <t>Can be cured with common treatments</t>
        </is>
      </c>
      <c r="AM170" t="inlineStr">
        <is>
          <t xml:space="preserve">Can be prevented </t>
        </is>
      </c>
      <c r="AN170" t="inlineStr">
        <is>
          <t xml:space="preserve">From generation to generation (hereditary)  </t>
        </is>
      </c>
      <c r="AO170" t="inlineStr">
        <is>
          <t>Healthy</t>
        </is>
      </c>
      <c r="AP170" t="inlineStr">
        <is>
          <t xml:space="preserve">Always healthy  </t>
        </is>
      </c>
      <c r="AQ170" t="inlineStr">
        <is>
          <t xml:space="preserve">Yes </t>
        </is>
      </c>
      <c r="AR170" t="inlineStr">
        <is>
          <t>Don’t know</t>
        </is>
      </c>
      <c r="AS170" t="inlineStr">
        <is>
          <t>Regular blood transfusions for life  Fatigue Bone deformities</t>
        </is>
      </c>
      <c r="AT170" t="n">
        <v>1</v>
      </c>
      <c r="AU170" t="n">
        <v>0</v>
      </c>
      <c r="AV170" t="n">
        <v>0</v>
      </c>
      <c r="AW170" t="n">
        <v>0</v>
      </c>
      <c r="AX170" t="n">
        <v>0</v>
      </c>
      <c r="AY170" t="n">
        <v>0</v>
      </c>
      <c r="AZ170" t="n">
        <v>1</v>
      </c>
      <c r="BA170" t="n">
        <v>1</v>
      </c>
      <c r="BB170" t="inlineStr">
        <is>
          <t xml:space="preserve"> Get the partner tested before marriage   Get family members tested </t>
        </is>
      </c>
      <c r="BC170" t="n">
        <v>1</v>
      </c>
      <c r="BD170" t="n">
        <v>1</v>
      </c>
      <c r="BE170" t="n">
        <v>0</v>
      </c>
      <c r="BF170" t="n">
        <v>0</v>
      </c>
      <c r="BG170" t="inlineStr">
        <is>
          <t xml:space="preserve">Family </t>
        </is>
      </c>
      <c r="BH170" t="inlineStr">
        <is>
          <t>Definitely not</t>
        </is>
      </c>
      <c r="BI170" t="inlineStr">
        <is>
          <t xml:space="preserve">Yes </t>
        </is>
      </c>
      <c r="BK170" t="inlineStr">
        <is>
          <t xml:space="preserve"> Partner was screened after marriage </t>
        </is>
      </c>
      <c r="BP170" t="inlineStr">
        <is>
          <t xml:space="preserve">Agree </t>
        </is>
      </c>
      <c r="BQ170" t="inlineStr">
        <is>
          <t xml:space="preserve">Yes </t>
        </is>
      </c>
      <c r="BS170" t="inlineStr">
        <is>
          <t>Some</t>
        </is>
      </c>
      <c r="BT170" t="inlineStr">
        <is>
          <t>Some</t>
        </is>
      </c>
      <c r="BU170" t="inlineStr">
        <is>
          <t>None</t>
        </is>
      </c>
      <c r="BV170" t="inlineStr">
        <is>
          <t>Other</t>
        </is>
      </c>
      <c r="BW170" t="n">
        <v>0</v>
      </c>
      <c r="BX170" t="n">
        <v>0</v>
      </c>
      <c r="BY170" t="n">
        <v>0</v>
      </c>
      <c r="BZ170" t="n">
        <v>0</v>
      </c>
      <c r="CA170" t="n">
        <v>0</v>
      </c>
      <c r="CB170" t="n">
        <v>1</v>
      </c>
      <c r="CC170" t="inlineStr">
        <is>
          <t>Waiting for appropriate age for children</t>
        </is>
      </c>
      <c r="CD170" t="inlineStr">
        <is>
          <t xml:space="preserve">Very easy </t>
        </is>
      </c>
      <c r="CE170" t="inlineStr">
        <is>
          <t xml:space="preserve"> Very important</t>
        </is>
      </c>
      <c r="CF170" t="n">
        <v>678778272</v>
      </c>
      <c r="CG170" t="inlineStr">
        <is>
          <t>8e9d459b-2bcc-4e1d-a5c5-a9a3bd547dd6</t>
        </is>
      </c>
      <c r="CH170" s="1" t="n">
        <v>46077.37464120371</v>
      </c>
      <c r="CK170" t="inlineStr">
        <is>
          <t>submitted_via_web</t>
        </is>
      </c>
      <c r="CM170" t="inlineStr">
        <is>
          <t>vteYUDpqfKnk39PHFZkvPS</t>
        </is>
      </c>
      <c r="CO170" t="inlineStr">
        <is>
          <t>uuid:8e9d459b-2bcc-4e1d-a5c5-a9a3bd547dd6</t>
        </is>
      </c>
      <c r="CP170" t="n">
        <v>169</v>
      </c>
      <c r="CQ170" t="n">
        <v>5</v>
      </c>
      <c r="CR170" t="n">
        <v>0.4641035858837596</v>
      </c>
    </row>
    <row r="171">
      <c r="A171" s="1" t="n">
        <v>46077.60377667824</v>
      </c>
      <c r="B171" s="1" t="n">
        <v>46077.60774165509</v>
      </c>
      <c r="D171" t="inlineStr">
        <is>
          <t>36</t>
        </is>
      </c>
      <c r="E171" t="inlineStr">
        <is>
          <t xml:space="preserve">Male </t>
        </is>
      </c>
      <c r="F171" t="inlineStr">
        <is>
          <t>Sinhalese</t>
        </is>
      </c>
      <c r="H171" t="inlineStr">
        <is>
          <t>Buddhist</t>
        </is>
      </c>
      <c r="J171" t="inlineStr">
        <is>
          <t>Private sector</t>
        </is>
      </c>
      <c r="K171" t="inlineStr">
        <is>
          <t>51,000 – 100,000</t>
        </is>
      </c>
      <c r="L171" t="inlineStr">
        <is>
          <t xml:space="preserve">Up to O/L </t>
        </is>
      </c>
      <c r="M171" t="inlineStr">
        <is>
          <t xml:space="preserve">North Central </t>
        </is>
      </c>
      <c r="N171" t="inlineStr">
        <is>
          <t xml:space="preserve">Married </t>
        </is>
      </c>
      <c r="O171" t="inlineStr">
        <is>
          <t xml:space="preserve">Yes, more than one child </t>
        </is>
      </c>
      <c r="P171" t="inlineStr">
        <is>
          <t>No</t>
        </is>
      </c>
      <c r="R171" s="1" t="n">
        <v>45346</v>
      </c>
      <c r="S171" t="inlineStr">
        <is>
          <t>At workplace</t>
        </is>
      </c>
      <c r="U171" t="inlineStr">
        <is>
          <t>Yes</t>
        </is>
      </c>
      <c r="V171" t="inlineStr">
        <is>
          <t>I don’t know</t>
        </is>
      </c>
      <c r="W171" t="n">
        <v>0</v>
      </c>
      <c r="X171" t="n">
        <v>0</v>
      </c>
      <c r="Y171" t="n">
        <v>0</v>
      </c>
      <c r="Z171" t="n">
        <v>1</v>
      </c>
      <c r="AA171" t="inlineStr">
        <is>
          <t>I don’t know</t>
        </is>
      </c>
      <c r="AB171" t="n">
        <v>0</v>
      </c>
      <c r="AC171" t="n">
        <v>0</v>
      </c>
      <c r="AD171" t="n">
        <v>0</v>
      </c>
      <c r="AE171" t="n">
        <v>1</v>
      </c>
      <c r="AF171" t="inlineStr">
        <is>
          <t>Thalassemia minor or trait (carrier form)</t>
        </is>
      </c>
      <c r="AG171" t="n">
        <v>0</v>
      </c>
      <c r="AH171" t="n">
        <v>1</v>
      </c>
      <c r="AI171" t="n">
        <v>0</v>
      </c>
      <c r="AJ171" t="n">
        <v>0</v>
      </c>
      <c r="AK171" t="inlineStr">
        <is>
          <t>Don’t know</t>
        </is>
      </c>
      <c r="AL171" t="inlineStr">
        <is>
          <t>Don’t know</t>
        </is>
      </c>
      <c r="AM171" t="inlineStr">
        <is>
          <t>Not sure</t>
        </is>
      </c>
      <c r="AN171" t="inlineStr">
        <is>
          <t xml:space="preserve">From generation to generation (hereditary)  </t>
        </is>
      </c>
      <c r="AO171" t="inlineStr">
        <is>
          <t>Don’t know</t>
        </is>
      </c>
      <c r="AP171" t="inlineStr">
        <is>
          <t>Don’t know</t>
        </is>
      </c>
      <c r="AQ171" t="inlineStr">
        <is>
          <t>No</t>
        </is>
      </c>
      <c r="AR171" t="inlineStr">
        <is>
          <t xml:space="preserve">40–100  </t>
        </is>
      </c>
      <c r="BB171" t="inlineStr">
        <is>
          <t xml:space="preserve">Get family members tested </t>
        </is>
      </c>
      <c r="BC171" t="n">
        <v>0</v>
      </c>
      <c r="BD171" t="n">
        <v>1</v>
      </c>
      <c r="BE171" t="n">
        <v>0</v>
      </c>
      <c r="BF171" t="n">
        <v>0</v>
      </c>
      <c r="BG171" t="inlineStr">
        <is>
          <t xml:space="preserve">Family </t>
        </is>
      </c>
      <c r="BH171" t="inlineStr">
        <is>
          <t>Definitely not</t>
        </is>
      </c>
      <c r="BI171" t="inlineStr">
        <is>
          <t xml:space="preserve">Yes </t>
        </is>
      </c>
      <c r="BJ171" t="inlineStr">
        <is>
          <t xml:space="preserve">Not sure </t>
        </is>
      </c>
      <c r="BK171" t="inlineStr">
        <is>
          <t xml:space="preserve">Did not screen partner </t>
        </is>
      </c>
      <c r="BM171" t="inlineStr">
        <is>
          <t xml:space="preserve"> Lack of understanding about its importance </t>
        </is>
      </c>
      <c r="BP171" t="inlineStr">
        <is>
          <t xml:space="preserve">Agree </t>
        </is>
      </c>
      <c r="BQ171" t="inlineStr">
        <is>
          <t xml:space="preserve">Yes </t>
        </is>
      </c>
      <c r="BS171" t="inlineStr">
        <is>
          <t>Some</t>
        </is>
      </c>
      <c r="BV171" t="inlineStr">
        <is>
          <t>Perception that screening was unnecessary</t>
        </is>
      </c>
      <c r="BW171" t="n">
        <v>0</v>
      </c>
      <c r="BX171" t="n">
        <v>0</v>
      </c>
      <c r="BY171" t="n">
        <v>0</v>
      </c>
      <c r="BZ171" t="n">
        <v>1</v>
      </c>
      <c r="CA171" t="n">
        <v>0</v>
      </c>
      <c r="CB171" t="n">
        <v>0</v>
      </c>
      <c r="CD171" t="inlineStr">
        <is>
          <t xml:space="preserve">Difficult </t>
        </is>
      </c>
      <c r="CE171" t="inlineStr">
        <is>
          <t xml:space="preserve">Important </t>
        </is>
      </c>
      <c r="CF171" t="n">
        <v>678783131</v>
      </c>
      <c r="CG171" t="inlineStr">
        <is>
          <t>ed5b5ec9-0abc-4681-8fe6-7f655af5c503</t>
        </is>
      </c>
      <c r="CH171" s="1" t="n">
        <v>46077.37857638889</v>
      </c>
      <c r="CK171" t="inlineStr">
        <is>
          <t>submitted_via_web</t>
        </is>
      </c>
      <c r="CM171" t="inlineStr">
        <is>
          <t>vteYUDpqfKnk39PHFZkvPS</t>
        </is>
      </c>
      <c r="CO171" t="inlineStr">
        <is>
          <t>uuid:ed5b5ec9-0abc-4681-8fe6-7f655af5c503</t>
        </is>
      </c>
      <c r="CP171" t="n">
        <v>170</v>
      </c>
      <c r="CQ171" t="n">
        <v>0</v>
      </c>
      <c r="CR171" t="n">
        <v>-1.487461702037489</v>
      </c>
    </row>
    <row r="172">
      <c r="A172" s="1" t="n">
        <v>46077.6077422338</v>
      </c>
      <c r="B172" s="1" t="n">
        <v>46077.61241572916</v>
      </c>
      <c r="D172" t="inlineStr">
        <is>
          <t>27</t>
        </is>
      </c>
      <c r="E172" t="inlineStr">
        <is>
          <t xml:space="preserve">Male </t>
        </is>
      </c>
      <c r="F172" t="inlineStr">
        <is>
          <t>Sinhalese</t>
        </is>
      </c>
      <c r="H172" t="inlineStr">
        <is>
          <t>Buddhist</t>
        </is>
      </c>
      <c r="J172" t="inlineStr">
        <is>
          <t>Government sector</t>
        </is>
      </c>
      <c r="K172" t="inlineStr">
        <is>
          <t>51,000 – 100,000</t>
        </is>
      </c>
      <c r="L172" t="inlineStr">
        <is>
          <t xml:space="preserve">Graduate </t>
        </is>
      </c>
      <c r="M172" t="inlineStr">
        <is>
          <t>Uva</t>
        </is>
      </c>
      <c r="N172" t="inlineStr">
        <is>
          <t>Single</t>
        </is>
      </c>
      <c r="P172" t="inlineStr">
        <is>
          <t xml:space="preserve"> Yes </t>
        </is>
      </c>
      <c r="Q172" t="inlineStr">
        <is>
          <t>Father had polycythemia</t>
        </is>
      </c>
      <c r="R172" s="1" t="n">
        <v>45346</v>
      </c>
      <c r="S172" t="inlineStr">
        <is>
          <t xml:space="preserve">During school/university  </t>
        </is>
      </c>
      <c r="U172" t="inlineStr">
        <is>
          <t>Yes</t>
        </is>
      </c>
      <c r="V172" t="inlineStr">
        <is>
          <t>Thalassemia major (severe form)   Thalassemia minor or trait (carrier form)</t>
        </is>
      </c>
      <c r="W172" t="n">
        <v>1</v>
      </c>
      <c r="X172" t="n">
        <v>1</v>
      </c>
      <c r="Y172" t="n">
        <v>0</v>
      </c>
      <c r="Z172" t="n">
        <v>0</v>
      </c>
      <c r="AA172" t="inlineStr">
        <is>
          <t xml:space="preserve">Thalassemia major (severe form)  </t>
        </is>
      </c>
      <c r="AB172" t="n">
        <v>1</v>
      </c>
      <c r="AC172" t="n">
        <v>0</v>
      </c>
      <c r="AD172" t="n">
        <v>0</v>
      </c>
      <c r="AE172" t="n">
        <v>0</v>
      </c>
      <c r="AF172" t="inlineStr">
        <is>
          <t>Thalassemia minor or trait (carrier form)</t>
        </is>
      </c>
      <c r="AG172" t="n">
        <v>0</v>
      </c>
      <c r="AH172" t="n">
        <v>1</v>
      </c>
      <c r="AI172" t="n">
        <v>0</v>
      </c>
      <c r="AJ172" t="n">
        <v>0</v>
      </c>
      <c r="AK172" t="inlineStr">
        <is>
          <t>Yes</t>
        </is>
      </c>
      <c r="AL172" t="inlineStr">
        <is>
          <t xml:space="preserve">Cannot be cured   </t>
        </is>
      </c>
      <c r="AM172" t="inlineStr">
        <is>
          <t xml:space="preserve">Can be prevented </t>
        </is>
      </c>
      <c r="AN172" t="inlineStr">
        <is>
          <t xml:space="preserve">From generation to generation (hereditary)  </t>
        </is>
      </c>
      <c r="AO172" t="inlineStr">
        <is>
          <t>Healthy</t>
        </is>
      </c>
      <c r="AP172" t="inlineStr">
        <is>
          <t xml:space="preserve">Has a chance to be affected (e.g., 25%) </t>
        </is>
      </c>
      <c r="AQ172" t="inlineStr">
        <is>
          <t xml:space="preserve">Yes </t>
        </is>
      </c>
      <c r="AR172" t="inlineStr">
        <is>
          <t>Don’t know</t>
        </is>
      </c>
      <c r="AS172" t="inlineStr">
        <is>
          <t>Regular blood transfusions for life  Iron overload affecting heart and liver  Risk of infections from transfusions Fatigue Bone deformities</t>
        </is>
      </c>
      <c r="AT172" t="n">
        <v>1</v>
      </c>
      <c r="AU172" t="n">
        <v>1</v>
      </c>
      <c r="AV172" t="n">
        <v>0</v>
      </c>
      <c r="AW172" t="n">
        <v>0</v>
      </c>
      <c r="AX172" t="n">
        <v>1</v>
      </c>
      <c r="AY172" t="n">
        <v>0</v>
      </c>
      <c r="AZ172" t="n">
        <v>1</v>
      </c>
      <c r="BA172" t="n">
        <v>1</v>
      </c>
      <c r="BB172" t="inlineStr">
        <is>
          <t xml:space="preserve"> Get the partner tested before marriage   Get family members tested </t>
        </is>
      </c>
      <c r="BC172" t="n">
        <v>1</v>
      </c>
      <c r="BD172" t="n">
        <v>1</v>
      </c>
      <c r="BE172" t="n">
        <v>0</v>
      </c>
      <c r="BF172" t="n">
        <v>0</v>
      </c>
      <c r="BG172" t="inlineStr">
        <is>
          <t xml:space="preserve">School  </t>
        </is>
      </c>
      <c r="BH172" t="inlineStr">
        <is>
          <t>Definitely not</t>
        </is>
      </c>
      <c r="BI172" t="inlineStr">
        <is>
          <t xml:space="preserve">No </t>
        </is>
      </c>
      <c r="BJ172" t="inlineStr">
        <is>
          <t xml:space="preserve">Very important </t>
        </is>
      </c>
      <c r="BK172" t="inlineStr">
        <is>
          <t xml:space="preserve"> Partner was screened after marriage </t>
        </is>
      </c>
      <c r="BP172" t="inlineStr">
        <is>
          <t xml:space="preserve">Agree </t>
        </is>
      </c>
      <c r="BQ172" t="inlineStr">
        <is>
          <t xml:space="preserve">Yes </t>
        </is>
      </c>
      <c r="BS172" t="inlineStr">
        <is>
          <t>None</t>
        </is>
      </c>
      <c r="BT172" t="inlineStr">
        <is>
          <t>None</t>
        </is>
      </c>
      <c r="BU172" t="inlineStr">
        <is>
          <t>None</t>
        </is>
      </c>
      <c r="BV172" t="inlineStr">
        <is>
          <t>Lack of knowledge  Perception that screening was unnecessary</t>
        </is>
      </c>
      <c r="BW172" t="n">
        <v>1</v>
      </c>
      <c r="BX172" t="n">
        <v>0</v>
      </c>
      <c r="BY172" t="n">
        <v>0</v>
      </c>
      <c r="BZ172" t="n">
        <v>1</v>
      </c>
      <c r="CA172" t="n">
        <v>0</v>
      </c>
      <c r="CB172" t="n">
        <v>0</v>
      </c>
      <c r="CD172" t="inlineStr">
        <is>
          <t xml:space="preserve">Difficult </t>
        </is>
      </c>
      <c r="CE172" t="inlineStr">
        <is>
          <t xml:space="preserve"> Very important</t>
        </is>
      </c>
      <c r="CF172" t="n">
        <v>678789474</v>
      </c>
      <c r="CG172" t="inlineStr">
        <is>
          <t>d0c1a6aa-55a1-4b10-9165-0fcb60b0939a</t>
        </is>
      </c>
      <c r="CH172" s="1" t="n">
        <v>46077.38326388889</v>
      </c>
      <c r="CK172" t="inlineStr">
        <is>
          <t>submitted_via_web</t>
        </is>
      </c>
      <c r="CM172" t="inlineStr">
        <is>
          <t>vteYUDpqfKnk39PHFZkvPS</t>
        </is>
      </c>
      <c r="CO172" t="inlineStr">
        <is>
          <t>uuid:d0c1a6aa-55a1-4b10-9165-0fcb60b0939a</t>
        </is>
      </c>
      <c r="CP172" t="n">
        <v>171</v>
      </c>
      <c r="CQ172" t="n">
        <v>7</v>
      </c>
      <c r="CR172" t="n">
        <v>1.244729701052259</v>
      </c>
    </row>
    <row r="173">
      <c r="A173" s="1" t="n">
        <v>46077.78953635417</v>
      </c>
      <c r="B173" s="1" t="n">
        <v>46077.79346302083</v>
      </c>
      <c r="D173" t="inlineStr">
        <is>
          <t>23</t>
        </is>
      </c>
      <c r="E173" t="inlineStr">
        <is>
          <t xml:space="preserve">Male </t>
        </is>
      </c>
      <c r="F173" t="inlineStr">
        <is>
          <t>Sinhalese</t>
        </is>
      </c>
      <c r="H173" t="inlineStr">
        <is>
          <t>Buddhist</t>
        </is>
      </c>
      <c r="J173" t="inlineStr">
        <is>
          <t>Private sector</t>
        </is>
      </c>
      <c r="K173" t="inlineStr">
        <is>
          <t>25,000 – 50,000</t>
        </is>
      </c>
      <c r="L173" t="inlineStr">
        <is>
          <t xml:space="preserve">Up to O/L </t>
        </is>
      </c>
      <c r="M173" t="inlineStr">
        <is>
          <t xml:space="preserve">Sabaragamuwa </t>
        </is>
      </c>
      <c r="N173" t="inlineStr">
        <is>
          <t>Single</t>
        </is>
      </c>
      <c r="P173" t="inlineStr">
        <is>
          <t>No</t>
        </is>
      </c>
      <c r="R173" s="1" t="n">
        <v>45346</v>
      </c>
      <c r="S173" t="inlineStr">
        <is>
          <t>At workplace</t>
        </is>
      </c>
      <c r="U173" t="inlineStr">
        <is>
          <t>Yes</t>
        </is>
      </c>
      <c r="V173" t="inlineStr">
        <is>
          <t>Thalassemia major (severe form)   Thalassemia minor or trait (carrier form)</t>
        </is>
      </c>
      <c r="W173" t="n">
        <v>1</v>
      </c>
      <c r="X173" t="n">
        <v>1</v>
      </c>
      <c r="Y173" t="n">
        <v>0</v>
      </c>
      <c r="Z173" t="n">
        <v>0</v>
      </c>
      <c r="AA173" t="inlineStr">
        <is>
          <t xml:space="preserve">Thalassemia major (severe form)  </t>
        </is>
      </c>
      <c r="AB173" t="n">
        <v>1</v>
      </c>
      <c r="AC173" t="n">
        <v>0</v>
      </c>
      <c r="AD173" t="n">
        <v>0</v>
      </c>
      <c r="AE173" t="n">
        <v>0</v>
      </c>
      <c r="AF173" t="inlineStr">
        <is>
          <t>Thalassemia minor or trait (carrier form)</t>
        </is>
      </c>
      <c r="AG173" t="n">
        <v>0</v>
      </c>
      <c r="AH173" t="n">
        <v>1</v>
      </c>
      <c r="AI173" t="n">
        <v>0</v>
      </c>
      <c r="AJ173" t="n">
        <v>0</v>
      </c>
      <c r="AK173" t="inlineStr">
        <is>
          <t>Don’t know</t>
        </is>
      </c>
      <c r="AL173" t="inlineStr">
        <is>
          <t>Can be cured with common treatments</t>
        </is>
      </c>
      <c r="AM173" t="inlineStr">
        <is>
          <t>Not sure</t>
        </is>
      </c>
      <c r="AN173" t="inlineStr">
        <is>
          <t xml:space="preserve">From generation to generation (hereditary)  </t>
        </is>
      </c>
      <c r="AO173" t="inlineStr">
        <is>
          <t>Don’t know</t>
        </is>
      </c>
      <c r="AP173" t="inlineStr">
        <is>
          <t>Always affected by thalassemia</t>
        </is>
      </c>
      <c r="AQ173" t="inlineStr">
        <is>
          <t xml:space="preserve">Yes </t>
        </is>
      </c>
      <c r="AR173" t="inlineStr">
        <is>
          <t>Don’t know</t>
        </is>
      </c>
      <c r="BB173" t="inlineStr">
        <is>
          <t xml:space="preserve"> Get the partner tested before marriage   Get family members tested </t>
        </is>
      </c>
      <c r="BC173" t="n">
        <v>1</v>
      </c>
      <c r="BD173" t="n">
        <v>1</v>
      </c>
      <c r="BE173" t="n">
        <v>0</v>
      </c>
      <c r="BF173" t="n">
        <v>0</v>
      </c>
      <c r="BG173" t="inlineStr">
        <is>
          <t>Mass media (TV, newspapers, social media)</t>
        </is>
      </c>
      <c r="BH173" t="inlineStr">
        <is>
          <t>Definitely not</t>
        </is>
      </c>
      <c r="BI173" t="inlineStr">
        <is>
          <t>Not sure</t>
        </is>
      </c>
      <c r="BJ173" t="inlineStr">
        <is>
          <t>Not important</t>
        </is>
      </c>
      <c r="BP173" t="inlineStr">
        <is>
          <t xml:space="preserve">Agree </t>
        </is>
      </c>
      <c r="BQ173" t="inlineStr">
        <is>
          <t>No</t>
        </is>
      </c>
      <c r="BS173" t="inlineStr">
        <is>
          <t>None</t>
        </is>
      </c>
      <c r="BT173" t="inlineStr">
        <is>
          <t>None</t>
        </is>
      </c>
      <c r="BU173" t="inlineStr">
        <is>
          <t>None</t>
        </is>
      </c>
      <c r="BV173" t="inlineStr">
        <is>
          <t xml:space="preserve">Lack of knowledge </t>
        </is>
      </c>
      <c r="BW173" t="n">
        <v>1</v>
      </c>
      <c r="BX173" t="n">
        <v>0</v>
      </c>
      <c r="BY173" t="n">
        <v>0</v>
      </c>
      <c r="BZ173" t="n">
        <v>0</v>
      </c>
      <c r="CA173" t="n">
        <v>0</v>
      </c>
      <c r="CB173" t="n">
        <v>0</v>
      </c>
      <c r="CD173" t="inlineStr">
        <is>
          <t xml:space="preserve">Somewhat easy </t>
        </is>
      </c>
      <c r="CE173" t="inlineStr">
        <is>
          <t xml:space="preserve">Important </t>
        </is>
      </c>
      <c r="CF173" t="n">
        <v>679030667</v>
      </c>
      <c r="CG173" t="inlineStr">
        <is>
          <t>61c630be-b8ce-4633-a462-ca68117ce7b4</t>
        </is>
      </c>
      <c r="CH173" s="1" t="n">
        <v>46077.56429398148</v>
      </c>
      <c r="CK173" t="inlineStr">
        <is>
          <t>submitted_via_web</t>
        </is>
      </c>
      <c r="CM173" t="inlineStr">
        <is>
          <t>vteYUDpqfKnk39PHFZkvPS</t>
        </is>
      </c>
      <c r="CO173" t="inlineStr">
        <is>
          <t>uuid:61c630be-b8ce-4633-a462-ca68117ce7b4</t>
        </is>
      </c>
      <c r="CP173" t="n">
        <v>172</v>
      </c>
      <c r="CQ173" t="n">
        <v>2</v>
      </c>
      <c r="CR173" t="n">
        <v>-0.7068355868689896</v>
      </c>
    </row>
    <row r="174">
      <c r="A174" s="1" t="n">
        <v>46077.79346516204</v>
      </c>
      <c r="B174" s="1" t="n">
        <v>46077.80323391204</v>
      </c>
      <c r="D174" t="inlineStr">
        <is>
          <t>26</t>
        </is>
      </c>
      <c r="E174" t="inlineStr">
        <is>
          <t xml:space="preserve">Male </t>
        </is>
      </c>
      <c r="F174" t="inlineStr">
        <is>
          <t>Sinhalese</t>
        </is>
      </c>
      <c r="H174" t="inlineStr">
        <is>
          <t>Buddhist</t>
        </is>
      </c>
      <c r="J174" t="inlineStr">
        <is>
          <t>Government sector</t>
        </is>
      </c>
      <c r="K174" t="inlineStr">
        <is>
          <t>51,000 – 100,000</t>
        </is>
      </c>
      <c r="L174" t="inlineStr">
        <is>
          <t xml:space="preserve">Up to A/L </t>
        </is>
      </c>
      <c r="M174" t="inlineStr">
        <is>
          <t>Western</t>
        </is>
      </c>
      <c r="N174" t="inlineStr">
        <is>
          <t>Single</t>
        </is>
      </c>
      <c r="P174" t="inlineStr">
        <is>
          <t>No</t>
        </is>
      </c>
      <c r="R174" s="1" t="n">
        <v>45346</v>
      </c>
      <c r="S174" t="inlineStr">
        <is>
          <t xml:space="preserve">During school/university  </t>
        </is>
      </c>
      <c r="U174" t="inlineStr">
        <is>
          <t>Yes</t>
        </is>
      </c>
      <c r="V174" t="inlineStr">
        <is>
          <t>Thalassemia major (severe form)   Thalassemia minor or trait (carrier form)</t>
        </is>
      </c>
      <c r="W174" t="n">
        <v>1</v>
      </c>
      <c r="X174" t="n">
        <v>1</v>
      </c>
      <c r="Y174" t="n">
        <v>0</v>
      </c>
      <c r="Z174" t="n">
        <v>0</v>
      </c>
      <c r="AA174" t="inlineStr">
        <is>
          <t xml:space="preserve">Thalassemia major (severe form)  </t>
        </is>
      </c>
      <c r="AB174" t="n">
        <v>1</v>
      </c>
      <c r="AC174" t="n">
        <v>0</v>
      </c>
      <c r="AD174" t="n">
        <v>0</v>
      </c>
      <c r="AE174" t="n">
        <v>0</v>
      </c>
      <c r="AF174" t="inlineStr">
        <is>
          <t>Thalassemia minor or trait (carrier form)</t>
        </is>
      </c>
      <c r="AG174" t="n">
        <v>0</v>
      </c>
      <c r="AH174" t="n">
        <v>1</v>
      </c>
      <c r="AI174" t="n">
        <v>0</v>
      </c>
      <c r="AJ174" t="n">
        <v>0</v>
      </c>
      <c r="AK174" t="inlineStr">
        <is>
          <t>Yes</t>
        </is>
      </c>
      <c r="AL174" t="inlineStr">
        <is>
          <t>Don’t know</t>
        </is>
      </c>
      <c r="AM174" t="inlineStr">
        <is>
          <t xml:space="preserve">Can be prevented </t>
        </is>
      </c>
      <c r="AN174" t="inlineStr">
        <is>
          <t xml:space="preserve">From generation to generation (hereditary)  </t>
        </is>
      </c>
      <c r="AO174" t="inlineStr">
        <is>
          <t>Healthy</t>
        </is>
      </c>
      <c r="AP174" t="inlineStr">
        <is>
          <t xml:space="preserve">Has a chance to be affected (e.g., 25%) </t>
        </is>
      </c>
      <c r="AQ174" t="inlineStr">
        <is>
          <t xml:space="preserve">Yes </t>
        </is>
      </c>
      <c r="AR174" t="inlineStr">
        <is>
          <t>Don’t know</t>
        </is>
      </c>
      <c r="AS174" t="inlineStr">
        <is>
          <t>Regular blood transfusions for life  Bone deformities</t>
        </is>
      </c>
      <c r="AT174" t="n">
        <v>1</v>
      </c>
      <c r="AU174" t="n">
        <v>0</v>
      </c>
      <c r="AV174" t="n">
        <v>0</v>
      </c>
      <c r="AW174" t="n">
        <v>0</v>
      </c>
      <c r="AX174" t="n">
        <v>0</v>
      </c>
      <c r="AY174" t="n">
        <v>0</v>
      </c>
      <c r="AZ174" t="n">
        <v>0</v>
      </c>
      <c r="BA174" t="n">
        <v>1</v>
      </c>
      <c r="BB174" t="inlineStr">
        <is>
          <t xml:space="preserve"> Get the partner tested before marriage   Get family members tested </t>
        </is>
      </c>
      <c r="BC174" t="n">
        <v>1</v>
      </c>
      <c r="BD174" t="n">
        <v>1</v>
      </c>
      <c r="BE174" t="n">
        <v>0</v>
      </c>
      <c r="BF174" t="n">
        <v>0</v>
      </c>
      <c r="BG174" t="inlineStr">
        <is>
          <t xml:space="preserve">Family </t>
        </is>
      </c>
      <c r="BH174" t="inlineStr">
        <is>
          <t>Definitely not</t>
        </is>
      </c>
      <c r="BI174" t="inlineStr">
        <is>
          <t xml:space="preserve">No </t>
        </is>
      </c>
      <c r="BJ174" t="inlineStr">
        <is>
          <t xml:space="preserve">Important </t>
        </is>
      </c>
      <c r="BK174" t="inlineStr">
        <is>
          <t xml:space="preserve">Did not screen partner </t>
        </is>
      </c>
      <c r="BP174" t="inlineStr">
        <is>
          <t xml:space="preserve">Agree </t>
        </is>
      </c>
      <c r="BQ174" t="inlineStr">
        <is>
          <t xml:space="preserve">Yes </t>
        </is>
      </c>
      <c r="BS174" t="inlineStr">
        <is>
          <t>All</t>
        </is>
      </c>
      <c r="BT174" t="inlineStr">
        <is>
          <t>Some</t>
        </is>
      </c>
      <c r="BU174" t="inlineStr">
        <is>
          <t>Don't know</t>
        </is>
      </c>
      <c r="BV174" t="inlineStr">
        <is>
          <t xml:space="preserve">Lack of knowledge </t>
        </is>
      </c>
      <c r="BW174" t="n">
        <v>1</v>
      </c>
      <c r="BX174" t="n">
        <v>0</v>
      </c>
      <c r="BY174" t="n">
        <v>0</v>
      </c>
      <c r="BZ174" t="n">
        <v>0</v>
      </c>
      <c r="CA174" t="n">
        <v>0</v>
      </c>
      <c r="CB174" t="n">
        <v>0</v>
      </c>
      <c r="CD174" t="inlineStr">
        <is>
          <t xml:space="preserve">Somewhat easy </t>
        </is>
      </c>
      <c r="CE174" t="inlineStr">
        <is>
          <t xml:space="preserve"> Very important</t>
        </is>
      </c>
      <c r="CF174" t="n">
        <v>679043884</v>
      </c>
      <c r="CG174" t="inlineStr">
        <is>
          <t>9508aca7-5bc4-4052-a0dc-1022102af793</t>
        </is>
      </c>
      <c r="CH174" s="1" t="n">
        <v>46077.5740625</v>
      </c>
      <c r="CK174" t="inlineStr">
        <is>
          <t>submitted_via_web</t>
        </is>
      </c>
      <c r="CM174" t="inlineStr">
        <is>
          <t>vteYUDpqfKnk39PHFZkvPS</t>
        </is>
      </c>
      <c r="CO174" t="inlineStr">
        <is>
          <t>uuid:9508aca7-5bc4-4052-a0dc-1022102af793</t>
        </is>
      </c>
      <c r="CP174" t="n">
        <v>173</v>
      </c>
      <c r="CQ174" t="n">
        <v>4</v>
      </c>
      <c r="CR174" t="n">
        <v>0.07379052829950983</v>
      </c>
    </row>
    <row r="175">
      <c r="A175" s="1" t="n">
        <v>46077.80323729166</v>
      </c>
      <c r="B175" s="1" t="n">
        <v>46077.80729609953</v>
      </c>
      <c r="D175" t="inlineStr">
        <is>
          <t>38</t>
        </is>
      </c>
      <c r="E175" t="inlineStr">
        <is>
          <t xml:space="preserve">Male </t>
        </is>
      </c>
      <c r="F175" t="inlineStr">
        <is>
          <t>Sinhalese</t>
        </is>
      </c>
      <c r="H175" t="inlineStr">
        <is>
          <t>Buddhist</t>
        </is>
      </c>
      <c r="J175" t="inlineStr">
        <is>
          <t>Government sector</t>
        </is>
      </c>
      <c r="K175" t="inlineStr">
        <is>
          <t>51,000 – 100,000</t>
        </is>
      </c>
      <c r="L175" t="inlineStr">
        <is>
          <t xml:space="preserve">Up to A/L </t>
        </is>
      </c>
      <c r="M175" t="inlineStr">
        <is>
          <t>Eastern</t>
        </is>
      </c>
      <c r="N175" t="inlineStr">
        <is>
          <t xml:space="preserve">Married </t>
        </is>
      </c>
      <c r="O175" t="inlineStr">
        <is>
          <t xml:space="preserve">Yes, more than one child </t>
        </is>
      </c>
      <c r="P175" t="inlineStr">
        <is>
          <t>No</t>
        </is>
      </c>
      <c r="R175" s="1" t="n">
        <v>45346</v>
      </c>
      <c r="S175" t="inlineStr">
        <is>
          <t>At workplace</t>
        </is>
      </c>
      <c r="U175" t="inlineStr">
        <is>
          <t>Yes</t>
        </is>
      </c>
      <c r="V175" t="inlineStr">
        <is>
          <t>Thalassemia major (severe form)   Thalassemia minor or trait (carrier form)</t>
        </is>
      </c>
      <c r="W175" t="n">
        <v>1</v>
      </c>
      <c r="X175" t="n">
        <v>1</v>
      </c>
      <c r="Y175" t="n">
        <v>0</v>
      </c>
      <c r="Z175" t="n">
        <v>0</v>
      </c>
      <c r="AA175" t="inlineStr">
        <is>
          <t xml:space="preserve">Thalassemia major (severe form)  </t>
        </is>
      </c>
      <c r="AB175" t="n">
        <v>1</v>
      </c>
      <c r="AC175" t="n">
        <v>0</v>
      </c>
      <c r="AD175" t="n">
        <v>0</v>
      </c>
      <c r="AE175" t="n">
        <v>0</v>
      </c>
      <c r="AF175" t="inlineStr">
        <is>
          <t>Thalassemia minor or trait (carrier form)</t>
        </is>
      </c>
      <c r="AG175" t="n">
        <v>0</v>
      </c>
      <c r="AH175" t="n">
        <v>1</v>
      </c>
      <c r="AI175" t="n">
        <v>0</v>
      </c>
      <c r="AJ175" t="n">
        <v>0</v>
      </c>
      <c r="AK175" t="inlineStr">
        <is>
          <t>Yes</t>
        </is>
      </c>
      <c r="AL175" t="inlineStr">
        <is>
          <t xml:space="preserve">Cannot be cured   </t>
        </is>
      </c>
      <c r="AM175" t="inlineStr">
        <is>
          <t>Not sure</t>
        </is>
      </c>
      <c r="AN175" t="inlineStr">
        <is>
          <t xml:space="preserve">From generation to generation (hereditary)  </t>
        </is>
      </c>
      <c r="AO175" t="inlineStr">
        <is>
          <t>Healthy</t>
        </is>
      </c>
      <c r="AP175" t="inlineStr">
        <is>
          <t xml:space="preserve">Has a chance to be affected (e.g., 25%) </t>
        </is>
      </c>
      <c r="AQ175" t="inlineStr">
        <is>
          <t xml:space="preserve">Yes </t>
        </is>
      </c>
      <c r="AR175" t="inlineStr">
        <is>
          <t>Don’t know</t>
        </is>
      </c>
      <c r="AS175" t="inlineStr">
        <is>
          <t xml:space="preserve">Regular blood transfusions for life </t>
        </is>
      </c>
      <c r="AT175" t="n">
        <v>1</v>
      </c>
      <c r="AU175" t="n">
        <v>0</v>
      </c>
      <c r="AV175" t="n">
        <v>0</v>
      </c>
      <c r="AW175" t="n">
        <v>0</v>
      </c>
      <c r="AX175" t="n">
        <v>0</v>
      </c>
      <c r="AY175" t="n">
        <v>0</v>
      </c>
      <c r="AZ175" t="n">
        <v>0</v>
      </c>
      <c r="BA175" t="n">
        <v>0</v>
      </c>
      <c r="BB175" t="inlineStr">
        <is>
          <t xml:space="preserve"> Get the partner tested before marriage   Get family members tested </t>
        </is>
      </c>
      <c r="BC175" t="n">
        <v>1</v>
      </c>
      <c r="BD175" t="n">
        <v>1</v>
      </c>
      <c r="BE175" t="n">
        <v>0</v>
      </c>
      <c r="BF175" t="n">
        <v>0</v>
      </c>
      <c r="BG175" t="inlineStr">
        <is>
          <t>Only found out after screening</t>
        </is>
      </c>
      <c r="BH175" t="inlineStr">
        <is>
          <t>Definitely not</t>
        </is>
      </c>
      <c r="BJ175" t="inlineStr">
        <is>
          <t xml:space="preserve">Not sure </t>
        </is>
      </c>
      <c r="BK175" t="inlineStr">
        <is>
          <t xml:space="preserve">Did not screen partner </t>
        </is>
      </c>
      <c r="BM175" t="inlineStr">
        <is>
          <t xml:space="preserve">Did not think it was necessary </t>
        </is>
      </c>
      <c r="BP175" t="inlineStr">
        <is>
          <t xml:space="preserve">Agree </t>
        </is>
      </c>
      <c r="BS175" t="inlineStr">
        <is>
          <t>None</t>
        </is>
      </c>
      <c r="BT175" t="inlineStr">
        <is>
          <t>None</t>
        </is>
      </c>
      <c r="BU175" t="inlineStr">
        <is>
          <t>None</t>
        </is>
      </c>
      <c r="BV175" t="inlineStr">
        <is>
          <t xml:space="preserve">Lack of knowledge </t>
        </is>
      </c>
      <c r="BW175" t="n">
        <v>1</v>
      </c>
      <c r="BX175" t="n">
        <v>0</v>
      </c>
      <c r="BY175" t="n">
        <v>0</v>
      </c>
      <c r="BZ175" t="n">
        <v>0</v>
      </c>
      <c r="CA175" t="n">
        <v>0</v>
      </c>
      <c r="CB175" t="n">
        <v>0</v>
      </c>
      <c r="CD175" t="inlineStr">
        <is>
          <t>Not sure</t>
        </is>
      </c>
      <c r="CE175" t="inlineStr">
        <is>
          <t xml:space="preserve"> Very important</t>
        </is>
      </c>
      <c r="CF175" t="n">
        <v>679048798</v>
      </c>
      <c r="CG175" t="inlineStr">
        <is>
          <t>8f8211b4-d672-43e6-924b-afc53b2fe074</t>
        </is>
      </c>
      <c r="CH175" s="1" t="n">
        <v>46077.578125</v>
      </c>
      <c r="CK175" t="inlineStr">
        <is>
          <t>submitted_via_web</t>
        </is>
      </c>
      <c r="CM175" t="inlineStr">
        <is>
          <t>vteYUDpqfKnk39PHFZkvPS</t>
        </is>
      </c>
      <c r="CO175" t="inlineStr">
        <is>
          <t>uuid:8f8211b4-d672-43e6-924b-afc53b2fe074</t>
        </is>
      </c>
      <c r="CP175" t="n">
        <v>174</v>
      </c>
      <c r="CQ175" t="n">
        <v>3</v>
      </c>
      <c r="CR175" t="n">
        <v>-0.3165225292847399</v>
      </c>
    </row>
    <row r="176">
      <c r="A176" s="1" t="n">
        <v>46077.80729751157</v>
      </c>
      <c r="B176" s="1" t="n">
        <v>46077.81398142361</v>
      </c>
      <c r="D176" t="inlineStr">
        <is>
          <t>30</t>
        </is>
      </c>
      <c r="E176" t="inlineStr">
        <is>
          <t>Female</t>
        </is>
      </c>
      <c r="F176" t="inlineStr">
        <is>
          <t>Sinhalese</t>
        </is>
      </c>
      <c r="H176" t="inlineStr">
        <is>
          <t>Buddhist</t>
        </is>
      </c>
      <c r="J176" t="inlineStr">
        <is>
          <t>Private sector</t>
        </is>
      </c>
      <c r="K176" t="inlineStr">
        <is>
          <t>51,000 – 100,000</t>
        </is>
      </c>
      <c r="L176" t="inlineStr">
        <is>
          <t xml:space="preserve">Up to A/L </t>
        </is>
      </c>
      <c r="M176" t="inlineStr">
        <is>
          <t>Western</t>
        </is>
      </c>
      <c r="N176" t="inlineStr">
        <is>
          <t xml:space="preserve">Married </t>
        </is>
      </c>
      <c r="O176" t="inlineStr">
        <is>
          <t>No children</t>
        </is>
      </c>
      <c r="P176" t="inlineStr">
        <is>
          <t>No</t>
        </is>
      </c>
      <c r="R176" s="1" t="n">
        <v>45346</v>
      </c>
      <c r="S176" t="inlineStr">
        <is>
          <t>During community screening</t>
        </is>
      </c>
      <c r="U176" t="inlineStr">
        <is>
          <t>Yes</t>
        </is>
      </c>
      <c r="V176" t="inlineStr">
        <is>
          <t>Thalassemia major (severe form)   Thalassemia minor or trait (carrier form)</t>
        </is>
      </c>
      <c r="W176" t="n">
        <v>1</v>
      </c>
      <c r="X176" t="n">
        <v>1</v>
      </c>
      <c r="Y176" t="n">
        <v>0</v>
      </c>
      <c r="Z176" t="n">
        <v>0</v>
      </c>
      <c r="AA176" t="inlineStr">
        <is>
          <t xml:space="preserve">Thalassemia major (severe form)  </t>
        </is>
      </c>
      <c r="AB176" t="n">
        <v>1</v>
      </c>
      <c r="AC176" t="n">
        <v>0</v>
      </c>
      <c r="AD176" t="n">
        <v>0</v>
      </c>
      <c r="AE176" t="n">
        <v>0</v>
      </c>
      <c r="AF176" t="inlineStr">
        <is>
          <t>Thalassemia minor or trait (carrier form)</t>
        </is>
      </c>
      <c r="AG176" t="n">
        <v>0</v>
      </c>
      <c r="AH176" t="n">
        <v>1</v>
      </c>
      <c r="AI176" t="n">
        <v>0</v>
      </c>
      <c r="AJ176" t="n">
        <v>0</v>
      </c>
      <c r="AK176" t="inlineStr">
        <is>
          <t>Don’t know</t>
        </is>
      </c>
      <c r="AL176" t="inlineStr">
        <is>
          <t>Don’t know</t>
        </is>
      </c>
      <c r="AM176" t="inlineStr">
        <is>
          <t xml:space="preserve">Can be prevented </t>
        </is>
      </c>
      <c r="AN176" t="inlineStr">
        <is>
          <t xml:space="preserve">From generation to generation (hereditary)  </t>
        </is>
      </c>
      <c r="AO176" t="inlineStr">
        <is>
          <t>Don’t know</t>
        </is>
      </c>
      <c r="AP176" t="inlineStr">
        <is>
          <t xml:space="preserve">Has a chance to be affected (e.g., 25%) </t>
        </is>
      </c>
      <c r="AQ176" t="inlineStr">
        <is>
          <t>No</t>
        </is>
      </c>
      <c r="AR176" t="inlineStr">
        <is>
          <t xml:space="preserve">40–100  </t>
        </is>
      </c>
      <c r="AS176" t="inlineStr">
        <is>
          <t>Regular blood transfusions for life  Risk of infections from transfusions</t>
        </is>
      </c>
      <c r="AT176" t="n">
        <v>1</v>
      </c>
      <c r="AU176" t="n">
        <v>0</v>
      </c>
      <c r="AV176" t="n">
        <v>0</v>
      </c>
      <c r="AW176" t="n">
        <v>0</v>
      </c>
      <c r="AX176" t="n">
        <v>1</v>
      </c>
      <c r="AY176" t="n">
        <v>0</v>
      </c>
      <c r="AZ176" t="n">
        <v>0</v>
      </c>
      <c r="BA176" t="n">
        <v>0</v>
      </c>
      <c r="BB176" t="inlineStr">
        <is>
          <t xml:space="preserve"> Get the partner tested before marriage   Get family members tested </t>
        </is>
      </c>
      <c r="BC176" t="n">
        <v>1</v>
      </c>
      <c r="BD176" t="n">
        <v>1</v>
      </c>
      <c r="BE176" t="n">
        <v>0</v>
      </c>
      <c r="BF176" t="n">
        <v>0</v>
      </c>
      <c r="BG176" t="inlineStr">
        <is>
          <t>Only found out after screening</t>
        </is>
      </c>
      <c r="BH176" t="inlineStr">
        <is>
          <t>Definitely not</t>
        </is>
      </c>
      <c r="BI176" t="inlineStr">
        <is>
          <t xml:space="preserve">No </t>
        </is>
      </c>
      <c r="BJ176" t="inlineStr">
        <is>
          <t xml:space="preserve">Very important </t>
        </is>
      </c>
      <c r="BK176" t="inlineStr">
        <is>
          <t>Partner was screened before marriage</t>
        </is>
      </c>
      <c r="BP176" t="inlineStr">
        <is>
          <t xml:space="preserve">Agree </t>
        </is>
      </c>
      <c r="BQ176" t="inlineStr">
        <is>
          <t xml:space="preserve">Yes </t>
        </is>
      </c>
      <c r="BS176" t="inlineStr">
        <is>
          <t>Some</t>
        </is>
      </c>
      <c r="BT176" t="inlineStr">
        <is>
          <t>None</t>
        </is>
      </c>
      <c r="BU176" t="inlineStr">
        <is>
          <t>None</t>
        </is>
      </c>
      <c r="BV176" t="inlineStr">
        <is>
          <t>Lack of knowledge  Perception that screening was unnecessary Cost or access issues</t>
        </is>
      </c>
      <c r="BW176" t="n">
        <v>1</v>
      </c>
      <c r="BX176" t="n">
        <v>0</v>
      </c>
      <c r="BY176" t="n">
        <v>0</v>
      </c>
      <c r="BZ176" t="n">
        <v>1</v>
      </c>
      <c r="CA176" t="n">
        <v>1</v>
      </c>
      <c r="CB176" t="n">
        <v>0</v>
      </c>
      <c r="CD176" t="inlineStr">
        <is>
          <t xml:space="preserve">Difficult </t>
        </is>
      </c>
      <c r="CE176" t="inlineStr">
        <is>
          <t xml:space="preserve">Important </t>
        </is>
      </c>
      <c r="CF176" t="n">
        <v>679056395</v>
      </c>
      <c r="CG176" t="inlineStr">
        <is>
          <t>face9c21-c1cc-4f58-9230-9fc367e7ab81</t>
        </is>
      </c>
      <c r="CH176" s="1" t="n">
        <v>46077.58481481481</v>
      </c>
      <c r="CK176" t="inlineStr">
        <is>
          <t>submitted_via_web</t>
        </is>
      </c>
      <c r="CM176" t="inlineStr">
        <is>
          <t>vteYUDpqfKnk39PHFZkvPS</t>
        </is>
      </c>
      <c r="CO176" t="inlineStr">
        <is>
          <t>uuid:face9c21-c1cc-4f58-9230-9fc367e7ab81</t>
        </is>
      </c>
      <c r="CP176" t="n">
        <v>175</v>
      </c>
      <c r="CQ176" t="n">
        <v>4</v>
      </c>
      <c r="CR176" t="n">
        <v>0.07379052829950983</v>
      </c>
    </row>
    <row r="177">
      <c r="A177" s="1" t="n">
        <v>46077.81398469907</v>
      </c>
      <c r="B177" s="1" t="n">
        <v>46077.81820086805</v>
      </c>
      <c r="D177" t="inlineStr">
        <is>
          <t>39</t>
        </is>
      </c>
      <c r="E177" t="inlineStr">
        <is>
          <t>Female</t>
        </is>
      </c>
      <c r="F177" t="inlineStr">
        <is>
          <t>Sinhalese</t>
        </is>
      </c>
      <c r="H177" t="inlineStr">
        <is>
          <t>Christian</t>
        </is>
      </c>
      <c r="J177" t="inlineStr">
        <is>
          <t>Not employed</t>
        </is>
      </c>
      <c r="L177" t="inlineStr">
        <is>
          <t xml:space="preserve">Up to A/L </t>
        </is>
      </c>
      <c r="M177" t="inlineStr">
        <is>
          <t>Western</t>
        </is>
      </c>
      <c r="N177" t="inlineStr">
        <is>
          <t xml:space="preserve">Married </t>
        </is>
      </c>
      <c r="O177" t="inlineStr">
        <is>
          <t xml:space="preserve">Yes, more than one child </t>
        </is>
      </c>
      <c r="P177" t="inlineStr">
        <is>
          <t xml:space="preserve"> Yes </t>
        </is>
      </c>
      <c r="Q177" t="inlineStr">
        <is>
          <t>Anemia</t>
        </is>
      </c>
      <c r="R177" s="1" t="n">
        <v>45346</v>
      </c>
      <c r="S177" t="inlineStr">
        <is>
          <t>Referral by a doctor</t>
        </is>
      </c>
      <c r="U177" t="inlineStr">
        <is>
          <t>Yes</t>
        </is>
      </c>
      <c r="AK177" t="inlineStr">
        <is>
          <t>Yes</t>
        </is>
      </c>
      <c r="AL177" t="inlineStr">
        <is>
          <t>Don’t know</t>
        </is>
      </c>
      <c r="AM177" t="inlineStr">
        <is>
          <t>Not sure</t>
        </is>
      </c>
      <c r="AN177" t="inlineStr">
        <is>
          <t xml:space="preserve">From generation to generation (hereditary)  </t>
        </is>
      </c>
      <c r="AO177" t="inlineStr">
        <is>
          <t xml:space="preserve">Not healthy  </t>
        </is>
      </c>
      <c r="AP177" t="inlineStr">
        <is>
          <t>Always affected by thalassemia</t>
        </is>
      </c>
      <c r="AQ177" t="inlineStr">
        <is>
          <t>No</t>
        </is>
      </c>
      <c r="AR177" t="inlineStr">
        <is>
          <t>Don’t know</t>
        </is>
      </c>
      <c r="BB177" t="inlineStr">
        <is>
          <t xml:space="preserve"> Get the partner tested before marriage  </t>
        </is>
      </c>
      <c r="BC177" t="n">
        <v>1</v>
      </c>
      <c r="BD177" t="n">
        <v>0</v>
      </c>
      <c r="BE177" t="n">
        <v>0</v>
      </c>
      <c r="BF177" t="n">
        <v>0</v>
      </c>
      <c r="BG177" t="inlineStr">
        <is>
          <t xml:space="preserve">Healthcare staff (doctors and nurses) </t>
        </is>
      </c>
      <c r="BH177" t="inlineStr">
        <is>
          <t>Definitely not</t>
        </is>
      </c>
      <c r="BI177" t="inlineStr">
        <is>
          <t xml:space="preserve">Yes </t>
        </is>
      </c>
      <c r="BJ177" t="inlineStr">
        <is>
          <t xml:space="preserve">Important </t>
        </is>
      </c>
      <c r="BK177" t="inlineStr">
        <is>
          <t xml:space="preserve">Did not screen partner </t>
        </is>
      </c>
      <c r="BS177" t="inlineStr">
        <is>
          <t>None</t>
        </is>
      </c>
      <c r="BT177" t="inlineStr">
        <is>
          <t>None</t>
        </is>
      </c>
      <c r="BV177" t="inlineStr">
        <is>
          <t>Perception that screening was unnecessary</t>
        </is>
      </c>
      <c r="BW177" t="n">
        <v>0</v>
      </c>
      <c r="BX177" t="n">
        <v>0</v>
      </c>
      <c r="BY177" t="n">
        <v>0</v>
      </c>
      <c r="BZ177" t="n">
        <v>1</v>
      </c>
      <c r="CA177" t="n">
        <v>0</v>
      </c>
      <c r="CB177" t="n">
        <v>0</v>
      </c>
      <c r="CD177" t="inlineStr">
        <is>
          <t>Not sure</t>
        </is>
      </c>
      <c r="CF177" t="n">
        <v>679061777</v>
      </c>
      <c r="CG177" t="inlineStr">
        <is>
          <t>35b6ca38-b465-450d-8dac-c194a08c600c</t>
        </is>
      </c>
      <c r="CH177" s="1" t="n">
        <v>46077.58903935185</v>
      </c>
      <c r="CK177" t="inlineStr">
        <is>
          <t>submitted_via_web</t>
        </is>
      </c>
      <c r="CM177" t="inlineStr">
        <is>
          <t>vteYUDpqfKnk39PHFZkvPS</t>
        </is>
      </c>
      <c r="CO177" t="inlineStr">
        <is>
          <t>uuid:35b6ca38-b465-450d-8dac-c194a08c600c</t>
        </is>
      </c>
      <c r="CP177" t="n">
        <v>176</v>
      </c>
      <c r="CQ177" t="n">
        <v>0</v>
      </c>
      <c r="CR177" t="n">
        <v>-1.487461702037489</v>
      </c>
    </row>
    <row r="178">
      <c r="A178" s="1" t="n">
        <v>46077.81820341435</v>
      </c>
      <c r="B178" s="1" t="n">
        <v>46077.82342515046</v>
      </c>
      <c r="D178" t="inlineStr">
        <is>
          <t>24</t>
        </is>
      </c>
      <c r="E178" t="inlineStr">
        <is>
          <t>Female</t>
        </is>
      </c>
      <c r="F178" t="inlineStr">
        <is>
          <t>Sinhalese</t>
        </is>
      </c>
      <c r="H178" t="inlineStr">
        <is>
          <t>Buddhist</t>
        </is>
      </c>
      <c r="J178" t="inlineStr">
        <is>
          <t>Private sector</t>
        </is>
      </c>
      <c r="K178" t="inlineStr">
        <is>
          <t>25,000 – 50,000</t>
        </is>
      </c>
      <c r="L178" t="inlineStr">
        <is>
          <t xml:space="preserve">Undergraduate </t>
        </is>
      </c>
      <c r="M178" t="inlineStr">
        <is>
          <t xml:space="preserve">North Western </t>
        </is>
      </c>
      <c r="N178" t="inlineStr">
        <is>
          <t>Single</t>
        </is>
      </c>
      <c r="P178" t="inlineStr">
        <is>
          <t>No</t>
        </is>
      </c>
      <c r="R178" s="1" t="n">
        <v>45346</v>
      </c>
      <c r="S178" t="inlineStr">
        <is>
          <t xml:space="preserve">During school/university  </t>
        </is>
      </c>
      <c r="U178" t="inlineStr">
        <is>
          <t>Yes</t>
        </is>
      </c>
      <c r="V178" t="inlineStr">
        <is>
          <t>Thalassemia major (severe form)   Thalassemia minor or trait (carrier form)</t>
        </is>
      </c>
      <c r="W178" t="n">
        <v>1</v>
      </c>
      <c r="X178" t="n">
        <v>1</v>
      </c>
      <c r="Y178" t="n">
        <v>0</v>
      </c>
      <c r="Z178" t="n">
        <v>0</v>
      </c>
      <c r="AA178" t="inlineStr">
        <is>
          <t xml:space="preserve">Thalassemia major (severe form)  </t>
        </is>
      </c>
      <c r="AB178" t="n">
        <v>1</v>
      </c>
      <c r="AC178" t="n">
        <v>0</v>
      </c>
      <c r="AD178" t="n">
        <v>0</v>
      </c>
      <c r="AE178" t="n">
        <v>0</v>
      </c>
      <c r="AF178" t="inlineStr">
        <is>
          <t>Thalassemia minor or trait (carrier form)</t>
        </is>
      </c>
      <c r="AG178" t="n">
        <v>0</v>
      </c>
      <c r="AH178" t="n">
        <v>1</v>
      </c>
      <c r="AI178" t="n">
        <v>0</v>
      </c>
      <c r="AJ178" t="n">
        <v>0</v>
      </c>
      <c r="AK178" t="inlineStr">
        <is>
          <t>Yes</t>
        </is>
      </c>
      <c r="AL178" t="inlineStr">
        <is>
          <t>Don’t know</t>
        </is>
      </c>
      <c r="AM178" t="inlineStr">
        <is>
          <t xml:space="preserve">Can be prevented </t>
        </is>
      </c>
      <c r="AN178" t="inlineStr">
        <is>
          <t xml:space="preserve">From generation to generation (hereditary)  </t>
        </is>
      </c>
      <c r="AO178" t="inlineStr">
        <is>
          <t>Healthy</t>
        </is>
      </c>
      <c r="AP178" t="inlineStr">
        <is>
          <t xml:space="preserve">Has a chance to be affected (e.g., 25%) </t>
        </is>
      </c>
      <c r="AQ178" t="inlineStr">
        <is>
          <t xml:space="preserve">Yes </t>
        </is>
      </c>
      <c r="AR178" t="inlineStr">
        <is>
          <t>Don’t know</t>
        </is>
      </c>
      <c r="AS178" t="inlineStr">
        <is>
          <t>Regular blood transfusions for life  Risk of diabetes, infertility, and hormonal issues  Risk of infections from transfusions</t>
        </is>
      </c>
      <c r="AT178" t="n">
        <v>1</v>
      </c>
      <c r="AU178" t="n">
        <v>0</v>
      </c>
      <c r="AV178" t="n">
        <v>0</v>
      </c>
      <c r="AW178" t="n">
        <v>1</v>
      </c>
      <c r="AX178" t="n">
        <v>1</v>
      </c>
      <c r="AY178" t="n">
        <v>0</v>
      </c>
      <c r="AZ178" t="n">
        <v>0</v>
      </c>
      <c r="BA178" t="n">
        <v>0</v>
      </c>
      <c r="BB178" t="inlineStr">
        <is>
          <t xml:space="preserve"> Get the partner tested before marriage   Get family members tested </t>
        </is>
      </c>
      <c r="BC178" t="n">
        <v>1</v>
      </c>
      <c r="BD178" t="n">
        <v>1</v>
      </c>
      <c r="BE178" t="n">
        <v>0</v>
      </c>
      <c r="BF178" t="n">
        <v>0</v>
      </c>
      <c r="BG178" t="inlineStr">
        <is>
          <t>Mass media (TV, newspapers, social media)</t>
        </is>
      </c>
      <c r="BH178" t="inlineStr">
        <is>
          <t>Definitely not</t>
        </is>
      </c>
      <c r="BI178" t="inlineStr">
        <is>
          <t xml:space="preserve">No </t>
        </is>
      </c>
      <c r="BJ178" t="inlineStr">
        <is>
          <t xml:space="preserve">Very important </t>
        </is>
      </c>
      <c r="BP178" t="inlineStr">
        <is>
          <t xml:space="preserve">Agree </t>
        </is>
      </c>
      <c r="BQ178" t="inlineStr">
        <is>
          <t xml:space="preserve">Yes </t>
        </is>
      </c>
      <c r="BS178" t="inlineStr">
        <is>
          <t>Some</t>
        </is>
      </c>
      <c r="BT178" t="inlineStr">
        <is>
          <t>Don't know</t>
        </is>
      </c>
      <c r="BU178" t="inlineStr">
        <is>
          <t>Don't know</t>
        </is>
      </c>
      <c r="BV178" t="inlineStr">
        <is>
          <t>Concern about stigma or discrimination</t>
        </is>
      </c>
      <c r="BW178" t="n">
        <v>0</v>
      </c>
      <c r="BX178" t="n">
        <v>1</v>
      </c>
      <c r="BY178" t="n">
        <v>0</v>
      </c>
      <c r="BZ178" t="n">
        <v>0</v>
      </c>
      <c r="CA178" t="n">
        <v>0</v>
      </c>
      <c r="CB178" t="n">
        <v>0</v>
      </c>
      <c r="CD178" t="inlineStr">
        <is>
          <t xml:space="preserve">Very easy </t>
        </is>
      </c>
      <c r="CE178" t="inlineStr">
        <is>
          <t xml:space="preserve"> Very important</t>
        </is>
      </c>
      <c r="CF178" t="n">
        <v>679069851</v>
      </c>
      <c r="CG178" t="inlineStr">
        <is>
          <t>ddc2309b-8b9f-47be-8a92-b31237ceb5d1</t>
        </is>
      </c>
      <c r="CH178" s="1" t="n">
        <v>46077.59425925926</v>
      </c>
      <c r="CK178" t="inlineStr">
        <is>
          <t>submitted_via_web</t>
        </is>
      </c>
      <c r="CM178" t="inlineStr">
        <is>
          <t>vteYUDpqfKnk39PHFZkvPS</t>
        </is>
      </c>
      <c r="CO178" t="inlineStr">
        <is>
          <t>uuid:ddc2309b-8b9f-47be-8a92-b31237ceb5d1</t>
        </is>
      </c>
      <c r="CP178" t="n">
        <v>177</v>
      </c>
      <c r="CQ178" t="n">
        <v>5</v>
      </c>
      <c r="CR178" t="n">
        <v>0.4641035858837596</v>
      </c>
    </row>
    <row r="179">
      <c r="A179" s="1" t="n">
        <v>46077.82342717593</v>
      </c>
      <c r="B179" s="1" t="n">
        <v>46077.82807582176</v>
      </c>
      <c r="D179" t="inlineStr">
        <is>
          <t>28</t>
        </is>
      </c>
      <c r="E179" t="inlineStr">
        <is>
          <t>Female</t>
        </is>
      </c>
      <c r="F179" t="inlineStr">
        <is>
          <t>Sinhalese</t>
        </is>
      </c>
      <c r="H179" t="inlineStr">
        <is>
          <t>Buddhist</t>
        </is>
      </c>
      <c r="J179" t="inlineStr">
        <is>
          <t>Government sector</t>
        </is>
      </c>
      <c r="K179" t="inlineStr">
        <is>
          <t>51,000 – 100,000</t>
        </is>
      </c>
      <c r="L179" t="inlineStr">
        <is>
          <t xml:space="preserve">Graduate </t>
        </is>
      </c>
      <c r="M179" t="inlineStr">
        <is>
          <t xml:space="preserve">Central </t>
        </is>
      </c>
      <c r="N179" t="inlineStr">
        <is>
          <t>Single</t>
        </is>
      </c>
      <c r="P179" t="inlineStr">
        <is>
          <t xml:space="preserve"> Yes </t>
        </is>
      </c>
      <c r="Q179" t="inlineStr">
        <is>
          <t>Thaltrait uncle</t>
        </is>
      </c>
      <c r="R179" s="1" t="n">
        <v>43155</v>
      </c>
      <c r="S179" t="inlineStr">
        <is>
          <t xml:space="preserve">During school/university  </t>
        </is>
      </c>
      <c r="U179" t="inlineStr">
        <is>
          <t>Yes</t>
        </is>
      </c>
      <c r="V179" t="inlineStr">
        <is>
          <t>Thalassemia major (severe form)   Thalassemia minor or trait (carrier form)</t>
        </is>
      </c>
      <c r="W179" t="n">
        <v>1</v>
      </c>
      <c r="X179" t="n">
        <v>1</v>
      </c>
      <c r="Y179" t="n">
        <v>0</v>
      </c>
      <c r="Z179" t="n">
        <v>0</v>
      </c>
      <c r="AA179" t="inlineStr">
        <is>
          <t xml:space="preserve">Thalassemia major (severe form)  </t>
        </is>
      </c>
      <c r="AB179" t="n">
        <v>1</v>
      </c>
      <c r="AC179" t="n">
        <v>0</v>
      </c>
      <c r="AD179" t="n">
        <v>0</v>
      </c>
      <c r="AE179" t="n">
        <v>0</v>
      </c>
      <c r="AF179" t="inlineStr">
        <is>
          <t>Thalassemia minor or trait (carrier form)</t>
        </is>
      </c>
      <c r="AG179" t="n">
        <v>0</v>
      </c>
      <c r="AH179" t="n">
        <v>1</v>
      </c>
      <c r="AI179" t="n">
        <v>0</v>
      </c>
      <c r="AJ179" t="n">
        <v>0</v>
      </c>
      <c r="AK179" t="inlineStr">
        <is>
          <t>Yes</t>
        </is>
      </c>
      <c r="AL179" t="inlineStr">
        <is>
          <t>Very difficult (e.g., bone marrow transplant)</t>
        </is>
      </c>
      <c r="AM179" t="inlineStr">
        <is>
          <t xml:space="preserve">Can be prevented </t>
        </is>
      </c>
      <c r="AN179" t="inlineStr">
        <is>
          <t xml:space="preserve">From generation to generation (hereditary)  </t>
        </is>
      </c>
      <c r="AO179" t="inlineStr">
        <is>
          <t>Healthy</t>
        </is>
      </c>
      <c r="AP179" t="inlineStr">
        <is>
          <t xml:space="preserve">Has a chance to be affected (e.g., 25%) </t>
        </is>
      </c>
      <c r="AQ179" t="inlineStr">
        <is>
          <t xml:space="preserve">Yes </t>
        </is>
      </c>
      <c r="AR179" t="inlineStr">
        <is>
          <t>Don’t know</t>
        </is>
      </c>
      <c r="AS179" t="inlineStr">
        <is>
          <t xml:space="preserve">Regular blood transfusions for life </t>
        </is>
      </c>
      <c r="AT179" t="n">
        <v>1</v>
      </c>
      <c r="AU179" t="n">
        <v>0</v>
      </c>
      <c r="AV179" t="n">
        <v>0</v>
      </c>
      <c r="AW179" t="n">
        <v>0</v>
      </c>
      <c r="AX179" t="n">
        <v>0</v>
      </c>
      <c r="AY179" t="n">
        <v>0</v>
      </c>
      <c r="AZ179" t="n">
        <v>0</v>
      </c>
      <c r="BA179" t="n">
        <v>0</v>
      </c>
      <c r="BB179" t="inlineStr">
        <is>
          <t xml:space="preserve"> Get the partner tested before marriage   Get family members tested </t>
        </is>
      </c>
      <c r="BC179" t="n">
        <v>1</v>
      </c>
      <c r="BD179" t="n">
        <v>1</v>
      </c>
      <c r="BE179" t="n">
        <v>0</v>
      </c>
      <c r="BF179" t="n">
        <v>0</v>
      </c>
      <c r="BG179" t="inlineStr">
        <is>
          <t xml:space="preserve">Family </t>
        </is>
      </c>
      <c r="BH179" t="inlineStr">
        <is>
          <t>Definitely not</t>
        </is>
      </c>
      <c r="BI179" t="inlineStr">
        <is>
          <t xml:space="preserve">No </t>
        </is>
      </c>
      <c r="BJ179" t="inlineStr">
        <is>
          <t xml:space="preserve">Important </t>
        </is>
      </c>
      <c r="BP179" t="inlineStr">
        <is>
          <t xml:space="preserve">Agree </t>
        </is>
      </c>
      <c r="BQ179" t="inlineStr">
        <is>
          <t xml:space="preserve">Yes </t>
        </is>
      </c>
      <c r="BS179" t="inlineStr">
        <is>
          <t>Some</t>
        </is>
      </c>
      <c r="BT179" t="inlineStr">
        <is>
          <t>Some</t>
        </is>
      </c>
      <c r="BU179" t="inlineStr">
        <is>
          <t>Don't know</t>
        </is>
      </c>
      <c r="BV179" t="inlineStr">
        <is>
          <t>Perception that screening was unnecessary</t>
        </is>
      </c>
      <c r="BW179" t="n">
        <v>0</v>
      </c>
      <c r="BX179" t="n">
        <v>0</v>
      </c>
      <c r="BY179" t="n">
        <v>0</v>
      </c>
      <c r="BZ179" t="n">
        <v>1</v>
      </c>
      <c r="CA179" t="n">
        <v>0</v>
      </c>
      <c r="CB179" t="n">
        <v>0</v>
      </c>
      <c r="CD179" t="inlineStr">
        <is>
          <t xml:space="preserve">Somewhat easy </t>
        </is>
      </c>
      <c r="CE179" t="inlineStr">
        <is>
          <t xml:space="preserve"> Very important</t>
        </is>
      </c>
      <c r="CF179" t="n">
        <v>679076280</v>
      </c>
      <c r="CG179" t="inlineStr">
        <is>
          <t>22ca09e9-da4c-4f26-9c21-59bf714c13db</t>
        </is>
      </c>
      <c r="CH179" s="1" t="n">
        <v>46077.59890046297</v>
      </c>
      <c r="CK179" t="inlineStr">
        <is>
          <t>submitted_via_web</t>
        </is>
      </c>
      <c r="CM179" t="inlineStr">
        <is>
          <t>vteYUDpqfKnk39PHFZkvPS</t>
        </is>
      </c>
      <c r="CO179" t="inlineStr">
        <is>
          <t>uuid:22ca09e9-da4c-4f26-9c21-59bf714c13db</t>
        </is>
      </c>
      <c r="CP179" t="n">
        <v>178</v>
      </c>
      <c r="CQ179" t="n">
        <v>3</v>
      </c>
      <c r="CR179" t="n">
        <v>-0.3165225292847399</v>
      </c>
    </row>
    <row r="180">
      <c r="A180" s="1" t="n">
        <v>46077.82807771991</v>
      </c>
      <c r="B180" s="1" t="n">
        <v>46077.83448483796</v>
      </c>
      <c r="D180" t="inlineStr">
        <is>
          <t>37</t>
        </is>
      </c>
      <c r="E180" t="inlineStr">
        <is>
          <t>Female</t>
        </is>
      </c>
      <c r="F180" t="inlineStr">
        <is>
          <t>Sinhalese</t>
        </is>
      </c>
      <c r="H180" t="inlineStr">
        <is>
          <t>Buddhist</t>
        </is>
      </c>
      <c r="J180" t="inlineStr">
        <is>
          <t>Government sector</t>
        </is>
      </c>
      <c r="K180" t="inlineStr">
        <is>
          <t>51,000 – 100,000</t>
        </is>
      </c>
      <c r="L180" t="inlineStr">
        <is>
          <t xml:space="preserve">Graduate </t>
        </is>
      </c>
      <c r="M180" t="inlineStr">
        <is>
          <t>Western</t>
        </is>
      </c>
      <c r="N180" t="inlineStr">
        <is>
          <t xml:space="preserve">Married </t>
        </is>
      </c>
      <c r="O180" t="inlineStr">
        <is>
          <t xml:space="preserve">Yes, only one child </t>
        </is>
      </c>
      <c r="P180" t="inlineStr">
        <is>
          <t>No</t>
        </is>
      </c>
      <c r="R180" s="1" t="n">
        <v>43885</v>
      </c>
      <c r="S180" t="inlineStr">
        <is>
          <t>During community screening</t>
        </is>
      </c>
      <c r="U180" t="inlineStr">
        <is>
          <t>Yes</t>
        </is>
      </c>
      <c r="V180" t="inlineStr">
        <is>
          <t>Thalassemia major (severe form)   Thalassemia minor or trait (carrier form)</t>
        </is>
      </c>
      <c r="W180" t="n">
        <v>1</v>
      </c>
      <c r="X180" t="n">
        <v>1</v>
      </c>
      <c r="Y180" t="n">
        <v>0</v>
      </c>
      <c r="Z180" t="n">
        <v>0</v>
      </c>
      <c r="AA180" t="inlineStr">
        <is>
          <t xml:space="preserve">Thalassemia major (severe form)  </t>
        </is>
      </c>
      <c r="AB180" t="n">
        <v>1</v>
      </c>
      <c r="AC180" t="n">
        <v>0</v>
      </c>
      <c r="AD180" t="n">
        <v>0</v>
      </c>
      <c r="AE180" t="n">
        <v>0</v>
      </c>
      <c r="AF180" t="inlineStr">
        <is>
          <t>Thalassemia minor or trait (carrier form)</t>
        </is>
      </c>
      <c r="AG180" t="n">
        <v>0</v>
      </c>
      <c r="AH180" t="n">
        <v>1</v>
      </c>
      <c r="AI180" t="n">
        <v>0</v>
      </c>
      <c r="AJ180" t="n">
        <v>0</v>
      </c>
      <c r="AK180" t="inlineStr">
        <is>
          <t>No</t>
        </is>
      </c>
      <c r="AL180" t="inlineStr">
        <is>
          <t>Don’t know</t>
        </is>
      </c>
      <c r="AM180" t="inlineStr">
        <is>
          <t xml:space="preserve">Can be prevented </t>
        </is>
      </c>
      <c r="AN180" t="inlineStr">
        <is>
          <t xml:space="preserve">From generation to generation (hereditary)  </t>
        </is>
      </c>
      <c r="AO180" t="inlineStr">
        <is>
          <t>Healthy</t>
        </is>
      </c>
      <c r="AP180" t="inlineStr">
        <is>
          <t xml:space="preserve">Has a chance to be affected (e.g., 25%) </t>
        </is>
      </c>
      <c r="AQ180" t="inlineStr">
        <is>
          <t xml:space="preserve">Yes </t>
        </is>
      </c>
      <c r="AR180" t="inlineStr">
        <is>
          <t>Don’t know</t>
        </is>
      </c>
      <c r="AS180" t="inlineStr">
        <is>
          <t xml:space="preserve">Regular blood transfusions for life </t>
        </is>
      </c>
      <c r="AT180" t="n">
        <v>1</v>
      </c>
      <c r="AU180" t="n">
        <v>0</v>
      </c>
      <c r="AV180" t="n">
        <v>0</v>
      </c>
      <c r="AW180" t="n">
        <v>0</v>
      </c>
      <c r="AX180" t="n">
        <v>0</v>
      </c>
      <c r="AY180" t="n">
        <v>0</v>
      </c>
      <c r="AZ180" t="n">
        <v>0</v>
      </c>
      <c r="BA180" t="n">
        <v>0</v>
      </c>
      <c r="BB180" t="inlineStr">
        <is>
          <t xml:space="preserve"> Get the partner tested before marriage   Get family members tested </t>
        </is>
      </c>
      <c r="BC180" t="n">
        <v>1</v>
      </c>
      <c r="BD180" t="n">
        <v>1</v>
      </c>
      <c r="BE180" t="n">
        <v>0</v>
      </c>
      <c r="BF180" t="n">
        <v>0</v>
      </c>
      <c r="BG180" t="inlineStr">
        <is>
          <t xml:space="preserve">School  </t>
        </is>
      </c>
      <c r="BH180" t="inlineStr">
        <is>
          <t>Definitely not</t>
        </is>
      </c>
      <c r="BI180" t="inlineStr">
        <is>
          <t xml:space="preserve">No </t>
        </is>
      </c>
      <c r="BJ180" t="inlineStr">
        <is>
          <t xml:space="preserve">Important </t>
        </is>
      </c>
      <c r="BK180" t="inlineStr">
        <is>
          <t xml:space="preserve"> Partner was screened after marriage </t>
        </is>
      </c>
      <c r="BP180" t="inlineStr">
        <is>
          <t xml:space="preserve">Disagree </t>
        </is>
      </c>
      <c r="BQ180" t="inlineStr">
        <is>
          <t>No</t>
        </is>
      </c>
      <c r="BS180" t="inlineStr">
        <is>
          <t>None</t>
        </is>
      </c>
      <c r="BT180" t="inlineStr">
        <is>
          <t>None</t>
        </is>
      </c>
      <c r="BU180" t="inlineStr">
        <is>
          <t>None</t>
        </is>
      </c>
      <c r="BV180" t="inlineStr">
        <is>
          <t xml:space="preserve">Lack of knowledge </t>
        </is>
      </c>
      <c r="BW180" t="n">
        <v>1</v>
      </c>
      <c r="BX180" t="n">
        <v>0</v>
      </c>
      <c r="BY180" t="n">
        <v>0</v>
      </c>
      <c r="BZ180" t="n">
        <v>0</v>
      </c>
      <c r="CA180" t="n">
        <v>0</v>
      </c>
      <c r="CB180" t="n">
        <v>0</v>
      </c>
      <c r="CD180" t="inlineStr">
        <is>
          <t xml:space="preserve">Difficult </t>
        </is>
      </c>
      <c r="CE180" t="inlineStr">
        <is>
          <t xml:space="preserve">Important </t>
        </is>
      </c>
      <c r="CF180" t="n">
        <v>679085171</v>
      </c>
      <c r="CG180" t="inlineStr">
        <is>
          <t>6d92d87d-12de-4485-b3dc-e462d5a1a381</t>
        </is>
      </c>
      <c r="CH180" s="1" t="n">
        <v>46077.6053125</v>
      </c>
      <c r="CK180" t="inlineStr">
        <is>
          <t>submitted_via_web</t>
        </is>
      </c>
      <c r="CM180" t="inlineStr">
        <is>
          <t>vteYUDpqfKnk39PHFZkvPS</t>
        </is>
      </c>
      <c r="CO180" t="inlineStr">
        <is>
          <t>uuid:6d92d87d-12de-4485-b3dc-e462d5a1a381</t>
        </is>
      </c>
      <c r="CP180" t="n">
        <v>179</v>
      </c>
      <c r="CQ180" t="n">
        <v>3</v>
      </c>
      <c r="CR180" t="n">
        <v>-0.3165225292847399</v>
      </c>
    </row>
    <row r="181">
      <c r="A181" s="1" t="n">
        <v>46077.8344869213</v>
      </c>
      <c r="B181" s="1" t="n">
        <v>46077.84088576389</v>
      </c>
      <c r="D181" t="inlineStr">
        <is>
          <t>40</t>
        </is>
      </c>
      <c r="E181" t="inlineStr">
        <is>
          <t>Female</t>
        </is>
      </c>
      <c r="F181" t="inlineStr">
        <is>
          <t>Sinhalese</t>
        </is>
      </c>
      <c r="H181" t="inlineStr">
        <is>
          <t>Buddhist</t>
        </is>
      </c>
      <c r="J181" t="inlineStr">
        <is>
          <t>Not employed</t>
        </is>
      </c>
      <c r="L181" t="inlineStr">
        <is>
          <t xml:space="preserve">Up to A/L </t>
        </is>
      </c>
      <c r="M181" t="inlineStr">
        <is>
          <t>Western</t>
        </is>
      </c>
      <c r="N181" t="inlineStr">
        <is>
          <t xml:space="preserve">Married </t>
        </is>
      </c>
      <c r="O181" t="inlineStr">
        <is>
          <t>No children</t>
        </is>
      </c>
      <c r="P181" t="inlineStr">
        <is>
          <t>No</t>
        </is>
      </c>
      <c r="R181" s="1" t="n">
        <v>43885</v>
      </c>
      <c r="S181" t="inlineStr">
        <is>
          <t>During community screening</t>
        </is>
      </c>
      <c r="U181" t="inlineStr">
        <is>
          <t>Yes</t>
        </is>
      </c>
      <c r="V181" t="inlineStr">
        <is>
          <t>Thalassemia major (severe form)   Thalassemia minor or trait (carrier form)</t>
        </is>
      </c>
      <c r="W181" t="n">
        <v>1</v>
      </c>
      <c r="X181" t="n">
        <v>1</v>
      </c>
      <c r="Y181" t="n">
        <v>0</v>
      </c>
      <c r="Z181" t="n">
        <v>0</v>
      </c>
      <c r="AA181" t="inlineStr">
        <is>
          <t xml:space="preserve">Thalassemia major (severe form)  </t>
        </is>
      </c>
      <c r="AB181" t="n">
        <v>1</v>
      </c>
      <c r="AC181" t="n">
        <v>0</v>
      </c>
      <c r="AD181" t="n">
        <v>0</v>
      </c>
      <c r="AE181" t="n">
        <v>0</v>
      </c>
      <c r="AF181" t="inlineStr">
        <is>
          <t>Thalassemia minor or trait (carrier form)</t>
        </is>
      </c>
      <c r="AG181" t="n">
        <v>0</v>
      </c>
      <c r="AH181" t="n">
        <v>1</v>
      </c>
      <c r="AI181" t="n">
        <v>0</v>
      </c>
      <c r="AJ181" t="n">
        <v>0</v>
      </c>
      <c r="AK181" t="inlineStr">
        <is>
          <t>No</t>
        </is>
      </c>
      <c r="AL181" t="inlineStr">
        <is>
          <t>Don’t know</t>
        </is>
      </c>
      <c r="AM181" t="inlineStr">
        <is>
          <t>Not sure</t>
        </is>
      </c>
      <c r="AN181" t="inlineStr">
        <is>
          <t xml:space="preserve">From generation to generation (hereditary)  </t>
        </is>
      </c>
      <c r="AO181" t="inlineStr">
        <is>
          <t>Healthy</t>
        </is>
      </c>
      <c r="AP181" t="inlineStr">
        <is>
          <t>Always affected by thalassemia</t>
        </is>
      </c>
      <c r="AQ181" t="inlineStr">
        <is>
          <t xml:space="preserve">Yes </t>
        </is>
      </c>
      <c r="AR181" t="inlineStr">
        <is>
          <t>Don’t know</t>
        </is>
      </c>
      <c r="BB181" t="inlineStr">
        <is>
          <t xml:space="preserve"> Get the partner tested before marriage  </t>
        </is>
      </c>
      <c r="BC181" t="n">
        <v>1</v>
      </c>
      <c r="BD181" t="n">
        <v>0</v>
      </c>
      <c r="BE181" t="n">
        <v>0</v>
      </c>
      <c r="BF181" t="n">
        <v>0</v>
      </c>
      <c r="BG181" t="inlineStr">
        <is>
          <t>Only found out after screening</t>
        </is>
      </c>
      <c r="BH181" t="inlineStr">
        <is>
          <t>Definitely not</t>
        </is>
      </c>
      <c r="BI181" t="inlineStr">
        <is>
          <t>Not sure</t>
        </is>
      </c>
      <c r="BJ181" t="inlineStr">
        <is>
          <t xml:space="preserve">Important </t>
        </is>
      </c>
      <c r="BK181" t="inlineStr">
        <is>
          <t xml:space="preserve"> Partner was screened after marriage </t>
        </is>
      </c>
      <c r="BP181" t="inlineStr">
        <is>
          <t xml:space="preserve">Agree </t>
        </is>
      </c>
      <c r="BQ181" t="inlineStr">
        <is>
          <t xml:space="preserve">Yes </t>
        </is>
      </c>
      <c r="BS181" t="inlineStr">
        <is>
          <t>Some</t>
        </is>
      </c>
      <c r="BT181" t="inlineStr">
        <is>
          <t>None</t>
        </is>
      </c>
      <c r="BU181" t="inlineStr">
        <is>
          <t>None</t>
        </is>
      </c>
      <c r="BV181" t="inlineStr">
        <is>
          <t>Lack of knowledge  Perception that screening was unnecessary Cost or access issues</t>
        </is>
      </c>
      <c r="BW181" t="n">
        <v>1</v>
      </c>
      <c r="BX181" t="n">
        <v>0</v>
      </c>
      <c r="BY181" t="n">
        <v>0</v>
      </c>
      <c r="BZ181" t="n">
        <v>1</v>
      </c>
      <c r="CA181" t="n">
        <v>1</v>
      </c>
      <c r="CB181" t="n">
        <v>0</v>
      </c>
      <c r="CD181" t="inlineStr">
        <is>
          <t xml:space="preserve">Difficult </t>
        </is>
      </c>
      <c r="CE181" t="inlineStr">
        <is>
          <t xml:space="preserve">Important </t>
        </is>
      </c>
      <c r="CF181" t="n">
        <v>679093982</v>
      </c>
      <c r="CG181" t="inlineStr">
        <is>
          <t>a5fad279-b7f4-49ad-aad6-94e6f3425fd2</t>
        </is>
      </c>
      <c r="CH181" s="1" t="n">
        <v>46077.61170138889</v>
      </c>
      <c r="CK181" t="inlineStr">
        <is>
          <t>submitted_via_web</t>
        </is>
      </c>
      <c r="CM181" t="inlineStr">
        <is>
          <t>vteYUDpqfKnk39PHFZkvPS</t>
        </is>
      </c>
      <c r="CO181" t="inlineStr">
        <is>
          <t>uuid:a5fad279-b7f4-49ad-aad6-94e6f3425fd2</t>
        </is>
      </c>
      <c r="CP181" t="n">
        <v>180</v>
      </c>
      <c r="CQ181" t="n">
        <v>2</v>
      </c>
      <c r="CR181" t="n">
        <v>-0.7068355868689896</v>
      </c>
    </row>
    <row r="182">
      <c r="A182" s="1" t="n">
        <v>46077.84088728009</v>
      </c>
      <c r="B182" s="1" t="n">
        <v>46077.84668293982</v>
      </c>
      <c r="D182" t="inlineStr">
        <is>
          <t>63</t>
        </is>
      </c>
      <c r="E182" t="inlineStr">
        <is>
          <t>Female</t>
        </is>
      </c>
      <c r="F182" t="inlineStr">
        <is>
          <t>Sinhalese</t>
        </is>
      </c>
      <c r="H182" t="inlineStr">
        <is>
          <t>Christian</t>
        </is>
      </c>
      <c r="J182" t="inlineStr">
        <is>
          <t>Government sector</t>
        </is>
      </c>
      <c r="K182" t="inlineStr">
        <is>
          <t>51,000 – 100,000</t>
        </is>
      </c>
      <c r="L182" t="inlineStr">
        <is>
          <t xml:space="preserve">Up to A/L </t>
        </is>
      </c>
      <c r="M182" t="inlineStr">
        <is>
          <t>Western</t>
        </is>
      </c>
      <c r="N182" t="inlineStr">
        <is>
          <t xml:space="preserve">Married </t>
        </is>
      </c>
      <c r="O182" t="inlineStr">
        <is>
          <t xml:space="preserve">Yes, more than one child </t>
        </is>
      </c>
      <c r="P182" t="inlineStr">
        <is>
          <t>No</t>
        </is>
      </c>
      <c r="R182" s="1" t="n">
        <v>43885</v>
      </c>
      <c r="S182" t="inlineStr">
        <is>
          <t>During community screening</t>
        </is>
      </c>
      <c r="U182" t="inlineStr">
        <is>
          <t>Yes</t>
        </is>
      </c>
      <c r="V182" t="inlineStr">
        <is>
          <t>Thalassemia major (severe form)   Thalassemia minor or trait (carrier form)</t>
        </is>
      </c>
      <c r="W182" t="n">
        <v>1</v>
      </c>
      <c r="X182" t="n">
        <v>1</v>
      </c>
      <c r="Y182" t="n">
        <v>0</v>
      </c>
      <c r="Z182" t="n">
        <v>0</v>
      </c>
      <c r="AA182" t="inlineStr">
        <is>
          <t xml:space="preserve">Thalassemia major (severe form)  </t>
        </is>
      </c>
      <c r="AB182" t="n">
        <v>1</v>
      </c>
      <c r="AC182" t="n">
        <v>0</v>
      </c>
      <c r="AD182" t="n">
        <v>0</v>
      </c>
      <c r="AE182" t="n">
        <v>0</v>
      </c>
      <c r="AF182" t="inlineStr">
        <is>
          <t>Thalassemia minor or trait (carrier form)</t>
        </is>
      </c>
      <c r="AG182" t="n">
        <v>0</v>
      </c>
      <c r="AH182" t="n">
        <v>1</v>
      </c>
      <c r="AI182" t="n">
        <v>0</v>
      </c>
      <c r="AJ182" t="n">
        <v>0</v>
      </c>
      <c r="AK182" t="inlineStr">
        <is>
          <t>Yes</t>
        </is>
      </c>
      <c r="AL182" t="inlineStr">
        <is>
          <t>Can be cured with common treatments</t>
        </is>
      </c>
      <c r="AM182" t="inlineStr">
        <is>
          <t xml:space="preserve">Can be prevented </t>
        </is>
      </c>
      <c r="AN182" t="inlineStr">
        <is>
          <t xml:space="preserve">From generation to generation (hereditary)  </t>
        </is>
      </c>
      <c r="AO182" t="inlineStr">
        <is>
          <t>Healthy</t>
        </is>
      </c>
      <c r="AP182" t="inlineStr">
        <is>
          <t xml:space="preserve">Has a chance to be affected (e.g., 25%) </t>
        </is>
      </c>
      <c r="AQ182" t="inlineStr">
        <is>
          <t xml:space="preserve">Yes </t>
        </is>
      </c>
      <c r="AR182" t="inlineStr">
        <is>
          <t>Don’t know</t>
        </is>
      </c>
      <c r="AS182" t="inlineStr">
        <is>
          <t xml:space="preserve">Regular blood transfusions for life </t>
        </is>
      </c>
      <c r="AT182" t="n">
        <v>1</v>
      </c>
      <c r="AU182" t="n">
        <v>0</v>
      </c>
      <c r="AV182" t="n">
        <v>0</v>
      </c>
      <c r="AW182" t="n">
        <v>0</v>
      </c>
      <c r="AX182" t="n">
        <v>0</v>
      </c>
      <c r="AY182" t="n">
        <v>0</v>
      </c>
      <c r="AZ182" t="n">
        <v>0</v>
      </c>
      <c r="BA182" t="n">
        <v>0</v>
      </c>
      <c r="BB182" t="inlineStr">
        <is>
          <t>I don’t know</t>
        </is>
      </c>
      <c r="BC182" t="n">
        <v>0</v>
      </c>
      <c r="BD182" t="n">
        <v>0</v>
      </c>
      <c r="BE182" t="n">
        <v>0</v>
      </c>
      <c r="BF182" t="n">
        <v>1</v>
      </c>
      <c r="BG182" t="inlineStr">
        <is>
          <t xml:space="preserve">Healthcare staff (doctors and nurses) </t>
        </is>
      </c>
      <c r="BH182" t="inlineStr">
        <is>
          <t>Definitely not</t>
        </is>
      </c>
      <c r="BI182" t="inlineStr">
        <is>
          <t xml:space="preserve">No </t>
        </is>
      </c>
      <c r="BJ182" t="inlineStr">
        <is>
          <t xml:space="preserve">Not sure </t>
        </is>
      </c>
      <c r="BK182" t="inlineStr">
        <is>
          <t xml:space="preserve">Did not screen partner </t>
        </is>
      </c>
      <c r="BP182" t="inlineStr">
        <is>
          <t>Don’t know</t>
        </is>
      </c>
      <c r="BQ182" t="inlineStr">
        <is>
          <t xml:space="preserve">Yes </t>
        </is>
      </c>
      <c r="BS182" t="inlineStr">
        <is>
          <t>None</t>
        </is>
      </c>
      <c r="BT182" t="inlineStr">
        <is>
          <t>None</t>
        </is>
      </c>
      <c r="BU182" t="inlineStr">
        <is>
          <t>None</t>
        </is>
      </c>
      <c r="BV182" t="inlineStr">
        <is>
          <t>Perception that screening was unnecessary</t>
        </is>
      </c>
      <c r="BW182" t="n">
        <v>0</v>
      </c>
      <c r="BX182" t="n">
        <v>0</v>
      </c>
      <c r="BY182" t="n">
        <v>0</v>
      </c>
      <c r="BZ182" t="n">
        <v>1</v>
      </c>
      <c r="CA182" t="n">
        <v>0</v>
      </c>
      <c r="CB182" t="n">
        <v>0</v>
      </c>
      <c r="CD182" t="inlineStr">
        <is>
          <t xml:space="preserve">Somewhat easy </t>
        </is>
      </c>
      <c r="CE182" t="inlineStr">
        <is>
          <t xml:space="preserve">Slightly important </t>
        </is>
      </c>
      <c r="CF182" t="n">
        <v>679102501</v>
      </c>
      <c r="CG182" t="inlineStr">
        <is>
          <t>02334c6f-770b-414f-9f74-23e789ff7e46</t>
        </is>
      </c>
      <c r="CH182" s="1" t="n">
        <v>46077.61752314815</v>
      </c>
      <c r="CK182" t="inlineStr">
        <is>
          <t>submitted_via_web</t>
        </is>
      </c>
      <c r="CM182" t="inlineStr">
        <is>
          <t>vteYUDpqfKnk39PHFZkvPS</t>
        </is>
      </c>
      <c r="CO182" t="inlineStr">
        <is>
          <t>uuid:02334c6f-770b-414f-9f74-23e789ff7e46</t>
        </is>
      </c>
      <c r="CP182" t="n">
        <v>181</v>
      </c>
      <c r="CQ182" t="n">
        <v>3</v>
      </c>
      <c r="CR182" t="n">
        <v>-0.3165225292847399</v>
      </c>
    </row>
    <row r="183">
      <c r="A183" s="1" t="n">
        <v>46077.84668518518</v>
      </c>
      <c r="B183" s="1" t="n">
        <v>46077.85311164352</v>
      </c>
      <c r="D183" t="inlineStr">
        <is>
          <t>27</t>
        </is>
      </c>
      <c r="E183" t="inlineStr">
        <is>
          <t xml:space="preserve">Male </t>
        </is>
      </c>
      <c r="F183" t="inlineStr">
        <is>
          <t>Sinhalese</t>
        </is>
      </c>
      <c r="H183" t="inlineStr">
        <is>
          <t>Buddhist</t>
        </is>
      </c>
      <c r="J183" t="inlineStr">
        <is>
          <t>Government sector</t>
        </is>
      </c>
      <c r="K183" t="inlineStr">
        <is>
          <t>&gt; 100,000</t>
        </is>
      </c>
      <c r="L183" t="inlineStr">
        <is>
          <t xml:space="preserve">Up to A/L </t>
        </is>
      </c>
      <c r="M183" t="inlineStr">
        <is>
          <t xml:space="preserve">Central </t>
        </is>
      </c>
      <c r="N183" t="inlineStr">
        <is>
          <t>Single</t>
        </is>
      </c>
      <c r="P183" t="inlineStr">
        <is>
          <t>No</t>
        </is>
      </c>
      <c r="R183" s="1" t="n">
        <v>44981</v>
      </c>
      <c r="S183" t="inlineStr">
        <is>
          <t xml:space="preserve">During school/university  </t>
        </is>
      </c>
      <c r="U183" t="inlineStr">
        <is>
          <t>Yes</t>
        </is>
      </c>
      <c r="V183" t="inlineStr">
        <is>
          <t>Thalassemia major (severe form)   Thalassemia minor or trait (carrier form)</t>
        </is>
      </c>
      <c r="W183" t="n">
        <v>1</v>
      </c>
      <c r="X183" t="n">
        <v>1</v>
      </c>
      <c r="Y183" t="n">
        <v>0</v>
      </c>
      <c r="Z183" t="n">
        <v>0</v>
      </c>
      <c r="AA183" t="inlineStr">
        <is>
          <t xml:space="preserve">Thalassemia major (severe form)  </t>
        </is>
      </c>
      <c r="AB183" t="n">
        <v>1</v>
      </c>
      <c r="AC183" t="n">
        <v>0</v>
      </c>
      <c r="AD183" t="n">
        <v>0</v>
      </c>
      <c r="AE183" t="n">
        <v>0</v>
      </c>
      <c r="AF183" t="inlineStr">
        <is>
          <t>Thalassemia minor or trait (carrier form)</t>
        </is>
      </c>
      <c r="AG183" t="n">
        <v>0</v>
      </c>
      <c r="AH183" t="n">
        <v>1</v>
      </c>
      <c r="AI183" t="n">
        <v>0</v>
      </c>
      <c r="AJ183" t="n">
        <v>0</v>
      </c>
      <c r="AK183" t="inlineStr">
        <is>
          <t>No</t>
        </is>
      </c>
      <c r="AL183" t="inlineStr">
        <is>
          <t>Very difficult (e.g., bone marrow transplant)</t>
        </is>
      </c>
      <c r="AM183" t="inlineStr">
        <is>
          <t xml:space="preserve">Can be prevented </t>
        </is>
      </c>
      <c r="AN183" t="inlineStr">
        <is>
          <t xml:space="preserve">From generation to generation (hereditary)  </t>
        </is>
      </c>
      <c r="AO183" t="inlineStr">
        <is>
          <t xml:space="preserve">Not healthy  </t>
        </is>
      </c>
      <c r="AP183" t="inlineStr">
        <is>
          <t xml:space="preserve">Has a chance to be affected (e.g., 25%) </t>
        </is>
      </c>
      <c r="AQ183" t="inlineStr">
        <is>
          <t xml:space="preserve">Yes </t>
        </is>
      </c>
      <c r="AR183" t="inlineStr">
        <is>
          <t xml:space="preserve">40–100  </t>
        </is>
      </c>
      <c r="AS183" t="inlineStr">
        <is>
          <t>Regular blood transfusions for life  Iron overload affecting heart and liver  Delayed growth and puberty Risk of infections from transfusions Fatigue</t>
        </is>
      </c>
      <c r="AT183" t="n">
        <v>1</v>
      </c>
      <c r="AU183" t="n">
        <v>1</v>
      </c>
      <c r="AV183" t="n">
        <v>1</v>
      </c>
      <c r="AW183" t="n">
        <v>0</v>
      </c>
      <c r="AX183" t="n">
        <v>1</v>
      </c>
      <c r="AY183" t="n">
        <v>0</v>
      </c>
      <c r="AZ183" t="n">
        <v>1</v>
      </c>
      <c r="BA183" t="n">
        <v>0</v>
      </c>
      <c r="BB183" t="inlineStr">
        <is>
          <t xml:space="preserve"> Get the partner tested before marriage   Get family members tested </t>
        </is>
      </c>
      <c r="BC183" t="n">
        <v>1</v>
      </c>
      <c r="BD183" t="n">
        <v>1</v>
      </c>
      <c r="BE183" t="n">
        <v>0</v>
      </c>
      <c r="BF183" t="n">
        <v>0</v>
      </c>
      <c r="BG183" t="inlineStr">
        <is>
          <t>Only found out after screening</t>
        </is>
      </c>
      <c r="BH183" t="inlineStr">
        <is>
          <t>Definitely not</t>
        </is>
      </c>
      <c r="BI183" t="inlineStr">
        <is>
          <t xml:space="preserve">No </t>
        </is>
      </c>
      <c r="BJ183" t="inlineStr">
        <is>
          <t xml:space="preserve">Very important </t>
        </is>
      </c>
      <c r="BP183" t="inlineStr">
        <is>
          <t xml:space="preserve">Agree </t>
        </is>
      </c>
      <c r="BQ183" t="inlineStr">
        <is>
          <t xml:space="preserve">Yes </t>
        </is>
      </c>
      <c r="BS183" t="inlineStr">
        <is>
          <t>Some</t>
        </is>
      </c>
      <c r="BT183" t="inlineStr">
        <is>
          <t>None</t>
        </is>
      </c>
      <c r="BU183" t="inlineStr">
        <is>
          <t>None</t>
        </is>
      </c>
      <c r="BV183" t="inlineStr">
        <is>
          <t>Lack of knowledge  Perception that screening was unnecessary</t>
        </is>
      </c>
      <c r="BW183" t="n">
        <v>1</v>
      </c>
      <c r="BX183" t="n">
        <v>0</v>
      </c>
      <c r="BY183" t="n">
        <v>0</v>
      </c>
      <c r="BZ183" t="n">
        <v>1</v>
      </c>
      <c r="CA183" t="n">
        <v>0</v>
      </c>
      <c r="CB183" t="n">
        <v>0</v>
      </c>
      <c r="CD183" t="inlineStr">
        <is>
          <t xml:space="preserve">Somewhat easy </t>
        </is>
      </c>
      <c r="CE183" t="inlineStr">
        <is>
          <t xml:space="preserve">Important </t>
        </is>
      </c>
      <c r="CF183" t="n">
        <v>679110818</v>
      </c>
      <c r="CG183" t="inlineStr">
        <is>
          <t>a9c8870b-0d09-4c8a-b507-f53b431ece79</t>
        </is>
      </c>
      <c r="CH183" s="1" t="n">
        <v>46077.62393518518</v>
      </c>
      <c r="CK183" t="inlineStr">
        <is>
          <t>submitted_via_web</t>
        </is>
      </c>
      <c r="CM183" t="inlineStr">
        <is>
          <t>vteYUDpqfKnk39PHFZkvPS</t>
        </is>
      </c>
      <c r="CO183" t="inlineStr">
        <is>
          <t>uuid:a9c8870b-0d09-4c8a-b507-f53b431ece79</t>
        </is>
      </c>
      <c r="CP183" t="n">
        <v>182</v>
      </c>
      <c r="CQ183" t="n">
        <v>7</v>
      </c>
      <c r="CR183" t="n">
        <v>1.244729701052259</v>
      </c>
    </row>
    <row r="184">
      <c r="A184" s="1" t="n">
        <v>46077.85311381944</v>
      </c>
      <c r="B184" s="1" t="n">
        <v>46077.8591658912</v>
      </c>
      <c r="D184" t="inlineStr">
        <is>
          <t>28</t>
        </is>
      </c>
      <c r="E184" t="inlineStr">
        <is>
          <t xml:space="preserve">Male </t>
        </is>
      </c>
      <c r="F184" t="inlineStr">
        <is>
          <t>Sinhalese</t>
        </is>
      </c>
      <c r="H184" t="inlineStr">
        <is>
          <t>Buddhist</t>
        </is>
      </c>
      <c r="J184" t="inlineStr">
        <is>
          <t>Government sector</t>
        </is>
      </c>
      <c r="K184" t="inlineStr">
        <is>
          <t>51,000 – 100,000</t>
        </is>
      </c>
      <c r="L184" t="inlineStr">
        <is>
          <t xml:space="preserve">Up to O/L </t>
        </is>
      </c>
      <c r="M184" t="inlineStr">
        <is>
          <t>Western</t>
        </is>
      </c>
      <c r="N184" t="inlineStr">
        <is>
          <t xml:space="preserve">Married </t>
        </is>
      </c>
      <c r="O184" t="inlineStr">
        <is>
          <t>No children</t>
        </is>
      </c>
      <c r="P184" t="inlineStr">
        <is>
          <t>No</t>
        </is>
      </c>
      <c r="R184" s="1" t="n">
        <v>44981</v>
      </c>
      <c r="S184" t="inlineStr">
        <is>
          <t>At workplace</t>
        </is>
      </c>
      <c r="U184" t="inlineStr">
        <is>
          <t>Yes</t>
        </is>
      </c>
      <c r="V184" t="inlineStr">
        <is>
          <t>I don’t know</t>
        </is>
      </c>
      <c r="W184" t="n">
        <v>0</v>
      </c>
      <c r="X184" t="n">
        <v>0</v>
      </c>
      <c r="Y184" t="n">
        <v>0</v>
      </c>
      <c r="Z184" t="n">
        <v>1</v>
      </c>
      <c r="AA184" t="inlineStr">
        <is>
          <t>Thalassemia minor or trait (carrier form)</t>
        </is>
      </c>
      <c r="AB184" t="n">
        <v>0</v>
      </c>
      <c r="AC184" t="n">
        <v>1</v>
      </c>
      <c r="AD184" t="n">
        <v>0</v>
      </c>
      <c r="AE184" t="n">
        <v>0</v>
      </c>
      <c r="AF184" t="inlineStr">
        <is>
          <t>Thalassemia minor or trait (carrier form)</t>
        </is>
      </c>
      <c r="AG184" t="n">
        <v>0</v>
      </c>
      <c r="AH184" t="n">
        <v>1</v>
      </c>
      <c r="AI184" t="n">
        <v>0</v>
      </c>
      <c r="AJ184" t="n">
        <v>0</v>
      </c>
      <c r="AK184" t="inlineStr">
        <is>
          <t>Yes</t>
        </is>
      </c>
      <c r="AL184" t="inlineStr">
        <is>
          <t xml:space="preserve">Cannot be cured   </t>
        </is>
      </c>
      <c r="AM184" t="inlineStr">
        <is>
          <t xml:space="preserve">Can be prevented </t>
        </is>
      </c>
      <c r="AN184" t="inlineStr">
        <is>
          <t xml:space="preserve">From generation to generation (hereditary)  </t>
        </is>
      </c>
      <c r="AO184" t="inlineStr">
        <is>
          <t>Don’t know</t>
        </is>
      </c>
      <c r="AP184" t="inlineStr">
        <is>
          <t xml:space="preserve">Has a chance to be affected (e.g., 25%) </t>
        </is>
      </c>
      <c r="AQ184" t="inlineStr">
        <is>
          <t xml:space="preserve">Yes </t>
        </is>
      </c>
      <c r="AR184" t="inlineStr">
        <is>
          <t>Don’t know</t>
        </is>
      </c>
      <c r="AS184" t="inlineStr">
        <is>
          <t>Regular blood transfusions for life  Fatigue</t>
        </is>
      </c>
      <c r="AT184" t="n">
        <v>1</v>
      </c>
      <c r="AU184" t="n">
        <v>0</v>
      </c>
      <c r="AV184" t="n">
        <v>0</v>
      </c>
      <c r="AW184" t="n">
        <v>0</v>
      </c>
      <c r="AX184" t="n">
        <v>0</v>
      </c>
      <c r="AY184" t="n">
        <v>0</v>
      </c>
      <c r="AZ184" t="n">
        <v>1</v>
      </c>
      <c r="BA184" t="n">
        <v>0</v>
      </c>
      <c r="BB184" t="inlineStr">
        <is>
          <t xml:space="preserve"> Get the partner tested before marriage   Get family members tested </t>
        </is>
      </c>
      <c r="BC184" t="n">
        <v>1</v>
      </c>
      <c r="BD184" t="n">
        <v>1</v>
      </c>
      <c r="BE184" t="n">
        <v>0</v>
      </c>
      <c r="BF184" t="n">
        <v>0</v>
      </c>
      <c r="BG184" t="inlineStr">
        <is>
          <t xml:space="preserve">Healthcare staff (doctors and nurses) </t>
        </is>
      </c>
      <c r="BH184" t="inlineStr">
        <is>
          <t>Definitely not</t>
        </is>
      </c>
      <c r="BI184" t="inlineStr">
        <is>
          <t>Not sure</t>
        </is>
      </c>
      <c r="BJ184" t="inlineStr">
        <is>
          <t xml:space="preserve">Very important </t>
        </is>
      </c>
      <c r="BK184" t="inlineStr">
        <is>
          <t>Partner was screened before marriage</t>
        </is>
      </c>
      <c r="BP184" t="inlineStr">
        <is>
          <t xml:space="preserve">Agree </t>
        </is>
      </c>
      <c r="BQ184" t="inlineStr">
        <is>
          <t xml:space="preserve">Yes </t>
        </is>
      </c>
      <c r="BS184" t="inlineStr">
        <is>
          <t>None</t>
        </is>
      </c>
      <c r="BT184" t="inlineStr">
        <is>
          <t>None</t>
        </is>
      </c>
      <c r="BU184" t="inlineStr">
        <is>
          <t>None</t>
        </is>
      </c>
      <c r="BV184" t="inlineStr">
        <is>
          <t xml:space="preserve">Lack of knowledge </t>
        </is>
      </c>
      <c r="BW184" t="n">
        <v>1</v>
      </c>
      <c r="BX184" t="n">
        <v>0</v>
      </c>
      <c r="BY184" t="n">
        <v>0</v>
      </c>
      <c r="BZ184" t="n">
        <v>0</v>
      </c>
      <c r="CA184" t="n">
        <v>0</v>
      </c>
      <c r="CB184" t="n">
        <v>0</v>
      </c>
      <c r="CD184" t="inlineStr">
        <is>
          <t xml:space="preserve">Difficult </t>
        </is>
      </c>
      <c r="CE184" t="inlineStr">
        <is>
          <t xml:space="preserve">Important </t>
        </is>
      </c>
      <c r="CF184" t="n">
        <v>679118324</v>
      </c>
      <c r="CG184" t="inlineStr">
        <is>
          <t>2eda4b0f-304c-403c-8551-370aaf94a30a</t>
        </is>
      </c>
      <c r="CH184" s="1" t="n">
        <v>46077.63</v>
      </c>
      <c r="CK184" t="inlineStr">
        <is>
          <t>submitted_via_web</t>
        </is>
      </c>
      <c r="CM184" t="inlineStr">
        <is>
          <t>vteYUDpqfKnk39PHFZkvPS</t>
        </is>
      </c>
      <c r="CO184" t="inlineStr">
        <is>
          <t>uuid:2eda4b0f-304c-403c-8551-370aaf94a30a</t>
        </is>
      </c>
      <c r="CP184" t="n">
        <v>183</v>
      </c>
      <c r="CQ184" t="n">
        <v>2</v>
      </c>
      <c r="CR184" t="n">
        <v>-0.7068355868689896</v>
      </c>
    </row>
    <row r="185">
      <c r="A185" s="1" t="n">
        <v>46077.85916733796</v>
      </c>
      <c r="B185" s="1" t="n">
        <v>46077.86269380787</v>
      </c>
      <c r="D185" t="inlineStr">
        <is>
          <t>22</t>
        </is>
      </c>
      <c r="E185" t="inlineStr">
        <is>
          <t xml:space="preserve">Male </t>
        </is>
      </c>
      <c r="F185" t="inlineStr">
        <is>
          <t>Sinhalese</t>
        </is>
      </c>
      <c r="H185" t="inlineStr">
        <is>
          <t>Buddhist</t>
        </is>
      </c>
      <c r="J185" t="inlineStr">
        <is>
          <t>Private sector</t>
        </is>
      </c>
      <c r="K185" t="inlineStr">
        <is>
          <t>25,000 – 50,000</t>
        </is>
      </c>
      <c r="L185" t="inlineStr">
        <is>
          <t xml:space="preserve">Up to O/L </t>
        </is>
      </c>
      <c r="M185" t="inlineStr">
        <is>
          <t xml:space="preserve">North Western </t>
        </is>
      </c>
      <c r="N185" t="inlineStr">
        <is>
          <t>Single</t>
        </is>
      </c>
      <c r="P185" t="inlineStr">
        <is>
          <t>No</t>
        </is>
      </c>
      <c r="R185" s="1" t="n">
        <v>45346</v>
      </c>
      <c r="S185" t="inlineStr">
        <is>
          <t>At workplace</t>
        </is>
      </c>
      <c r="U185" t="inlineStr">
        <is>
          <t>Yes</t>
        </is>
      </c>
      <c r="V185" t="inlineStr">
        <is>
          <t>Thalassemia major (severe form)   Thalassemia minor or trait (carrier form)</t>
        </is>
      </c>
      <c r="W185" t="n">
        <v>1</v>
      </c>
      <c r="X185" t="n">
        <v>1</v>
      </c>
      <c r="Y185" t="n">
        <v>0</v>
      </c>
      <c r="Z185" t="n">
        <v>0</v>
      </c>
      <c r="AA185" t="inlineStr">
        <is>
          <t xml:space="preserve">Thalassemia major (severe form)  </t>
        </is>
      </c>
      <c r="AB185" t="n">
        <v>1</v>
      </c>
      <c r="AC185" t="n">
        <v>0</v>
      </c>
      <c r="AD185" t="n">
        <v>0</v>
      </c>
      <c r="AE185" t="n">
        <v>0</v>
      </c>
      <c r="AF185" t="inlineStr">
        <is>
          <t>I don’t know</t>
        </is>
      </c>
      <c r="AG185" t="n">
        <v>0</v>
      </c>
      <c r="AH185" t="n">
        <v>0</v>
      </c>
      <c r="AI185" t="n">
        <v>0</v>
      </c>
      <c r="AJ185" t="n">
        <v>1</v>
      </c>
      <c r="AK185" t="inlineStr">
        <is>
          <t>Yes</t>
        </is>
      </c>
      <c r="AL185" t="inlineStr">
        <is>
          <t xml:space="preserve">Cannot be cured   </t>
        </is>
      </c>
      <c r="AM185" t="inlineStr">
        <is>
          <t>Not sure</t>
        </is>
      </c>
      <c r="AN185" t="inlineStr">
        <is>
          <t xml:space="preserve">From generation to generation (hereditary)  </t>
        </is>
      </c>
      <c r="AO185" t="inlineStr">
        <is>
          <t xml:space="preserve">Not healthy  </t>
        </is>
      </c>
      <c r="AP185" t="inlineStr">
        <is>
          <t xml:space="preserve">Has a chance to be affected (e.g., 25%) </t>
        </is>
      </c>
      <c r="AQ185" t="inlineStr">
        <is>
          <t xml:space="preserve">Yes </t>
        </is>
      </c>
      <c r="AR185" t="inlineStr">
        <is>
          <t>Don’t know</t>
        </is>
      </c>
      <c r="AS185" t="inlineStr">
        <is>
          <t xml:space="preserve">Regular blood transfusions for life </t>
        </is>
      </c>
      <c r="AT185" t="n">
        <v>1</v>
      </c>
      <c r="AU185" t="n">
        <v>0</v>
      </c>
      <c r="AV185" t="n">
        <v>0</v>
      </c>
      <c r="AW185" t="n">
        <v>0</v>
      </c>
      <c r="AX185" t="n">
        <v>0</v>
      </c>
      <c r="AY185" t="n">
        <v>0</v>
      </c>
      <c r="AZ185" t="n">
        <v>0</v>
      </c>
      <c r="BA185" t="n">
        <v>0</v>
      </c>
      <c r="BB185" t="inlineStr">
        <is>
          <t xml:space="preserve"> Get the partner tested before marriage   Get family members tested </t>
        </is>
      </c>
      <c r="BC185" t="n">
        <v>1</v>
      </c>
      <c r="BD185" t="n">
        <v>1</v>
      </c>
      <c r="BE185" t="n">
        <v>0</v>
      </c>
      <c r="BF185" t="n">
        <v>0</v>
      </c>
      <c r="BG185" t="inlineStr">
        <is>
          <t>Only found out after screening</t>
        </is>
      </c>
      <c r="BH185" t="inlineStr">
        <is>
          <t xml:space="preserve">Not sure </t>
        </is>
      </c>
      <c r="BP185" t="inlineStr">
        <is>
          <t xml:space="preserve">Agree </t>
        </is>
      </c>
      <c r="BQ185" t="inlineStr">
        <is>
          <t xml:space="preserve">Yes </t>
        </is>
      </c>
      <c r="BS185" t="inlineStr">
        <is>
          <t>All</t>
        </is>
      </c>
      <c r="BT185" t="inlineStr">
        <is>
          <t>Some</t>
        </is>
      </c>
      <c r="BU185" t="inlineStr">
        <is>
          <t>Don't know</t>
        </is>
      </c>
      <c r="BV185" t="inlineStr">
        <is>
          <t>Lack of knowledge  Perception that screening was unnecessary</t>
        </is>
      </c>
      <c r="BW185" t="n">
        <v>1</v>
      </c>
      <c r="BX185" t="n">
        <v>0</v>
      </c>
      <c r="BY185" t="n">
        <v>0</v>
      </c>
      <c r="BZ185" t="n">
        <v>1</v>
      </c>
      <c r="CA185" t="n">
        <v>0</v>
      </c>
      <c r="CB185" t="n">
        <v>0</v>
      </c>
      <c r="CD185" t="inlineStr">
        <is>
          <t xml:space="preserve">Somewhat easy </t>
        </is>
      </c>
      <c r="CE185" t="inlineStr">
        <is>
          <t xml:space="preserve"> Very important</t>
        </is>
      </c>
      <c r="CF185" t="n">
        <v>679122280</v>
      </c>
      <c r="CG185" t="inlineStr">
        <is>
          <t>071fbb72-63c1-46c8-a21c-cca7a8d440a0</t>
        </is>
      </c>
      <c r="CH185" s="1" t="n">
        <v>46077.63351851852</v>
      </c>
      <c r="CK185" t="inlineStr">
        <is>
          <t>submitted_via_web</t>
        </is>
      </c>
      <c r="CM185" t="inlineStr">
        <is>
          <t>vteYUDpqfKnk39PHFZkvPS</t>
        </is>
      </c>
      <c r="CO185" t="inlineStr">
        <is>
          <t>uuid:071fbb72-63c1-46c8-a21c-cca7a8d440a0</t>
        </is>
      </c>
      <c r="CP185" t="n">
        <v>184</v>
      </c>
      <c r="CQ185" t="n">
        <v>3</v>
      </c>
      <c r="CR185" t="n">
        <v>-0.3165225292847399</v>
      </c>
    </row>
    <row r="186">
      <c r="A186" s="1" t="n">
        <v>46077.86269467593</v>
      </c>
      <c r="B186" s="1" t="n">
        <v>46077.86896378472</v>
      </c>
      <c r="D186" t="inlineStr">
        <is>
          <t>25</t>
        </is>
      </c>
      <c r="E186" t="inlineStr">
        <is>
          <t xml:space="preserve">Male </t>
        </is>
      </c>
      <c r="F186" t="inlineStr">
        <is>
          <t>Sinhalese</t>
        </is>
      </c>
      <c r="H186" t="inlineStr">
        <is>
          <t>Buddhist</t>
        </is>
      </c>
      <c r="J186" t="inlineStr">
        <is>
          <t>Private sector</t>
        </is>
      </c>
      <c r="K186" t="inlineStr">
        <is>
          <t>51,000 – 100,000</t>
        </is>
      </c>
      <c r="L186" t="inlineStr">
        <is>
          <t xml:space="preserve">Up to A/L </t>
        </is>
      </c>
      <c r="M186" t="inlineStr">
        <is>
          <t>Western</t>
        </is>
      </c>
      <c r="N186" t="inlineStr">
        <is>
          <t>Single</t>
        </is>
      </c>
      <c r="P186" t="inlineStr">
        <is>
          <t xml:space="preserve"> Yes </t>
        </is>
      </c>
      <c r="Q186" t="inlineStr">
        <is>
          <t>Thalassemia Relatives</t>
        </is>
      </c>
      <c r="R186" s="1" t="n">
        <v>43520</v>
      </c>
      <c r="S186" t="inlineStr">
        <is>
          <t xml:space="preserve">During school/university  </t>
        </is>
      </c>
      <c r="U186" t="inlineStr">
        <is>
          <t>Yes</t>
        </is>
      </c>
      <c r="V186" t="inlineStr">
        <is>
          <t>Thalassemia major (severe form)   Thalassemia minor or trait (carrier form)</t>
        </is>
      </c>
      <c r="W186" t="n">
        <v>1</v>
      </c>
      <c r="X186" t="n">
        <v>1</v>
      </c>
      <c r="Y186" t="n">
        <v>0</v>
      </c>
      <c r="Z186" t="n">
        <v>0</v>
      </c>
      <c r="AA186" t="inlineStr">
        <is>
          <t xml:space="preserve">Thalassemia major (severe form)  </t>
        </is>
      </c>
      <c r="AB186" t="n">
        <v>1</v>
      </c>
      <c r="AC186" t="n">
        <v>0</v>
      </c>
      <c r="AD186" t="n">
        <v>0</v>
      </c>
      <c r="AE186" t="n">
        <v>0</v>
      </c>
      <c r="AK186" t="inlineStr">
        <is>
          <t>Yes</t>
        </is>
      </c>
      <c r="AL186" t="inlineStr">
        <is>
          <t>Very difficult (e.g., bone marrow transplant)</t>
        </is>
      </c>
      <c r="AM186" t="inlineStr">
        <is>
          <t xml:space="preserve">Can be prevented </t>
        </is>
      </c>
      <c r="AN186" t="inlineStr">
        <is>
          <t xml:space="preserve">From generation to generation (hereditary)  </t>
        </is>
      </c>
      <c r="AO186" t="inlineStr">
        <is>
          <t>Healthy</t>
        </is>
      </c>
      <c r="AQ186" t="inlineStr">
        <is>
          <t>No</t>
        </is>
      </c>
      <c r="AR186" t="inlineStr">
        <is>
          <t>Don’t know</t>
        </is>
      </c>
      <c r="AS186" t="inlineStr">
        <is>
          <t>Regular blood transfusions for life  Delayed growth and puberty</t>
        </is>
      </c>
      <c r="AT186" t="n">
        <v>1</v>
      </c>
      <c r="AU186" t="n">
        <v>0</v>
      </c>
      <c r="AV186" t="n">
        <v>1</v>
      </c>
      <c r="AW186" t="n">
        <v>0</v>
      </c>
      <c r="AX186" t="n">
        <v>0</v>
      </c>
      <c r="AY186" t="n">
        <v>0</v>
      </c>
      <c r="AZ186" t="n">
        <v>0</v>
      </c>
      <c r="BA186" t="n">
        <v>0</v>
      </c>
      <c r="BB186" t="inlineStr">
        <is>
          <t xml:space="preserve"> Get the partner tested before marriage   Get family members tested </t>
        </is>
      </c>
      <c r="BC186" t="n">
        <v>1</v>
      </c>
      <c r="BD186" t="n">
        <v>1</v>
      </c>
      <c r="BE186" t="n">
        <v>0</v>
      </c>
      <c r="BF186" t="n">
        <v>0</v>
      </c>
      <c r="BG186" t="inlineStr">
        <is>
          <t>Only found out after screening</t>
        </is>
      </c>
      <c r="BH186" t="inlineStr">
        <is>
          <t>Definitely not</t>
        </is>
      </c>
      <c r="BI186" t="inlineStr">
        <is>
          <t>Not sure</t>
        </is>
      </c>
      <c r="BJ186" t="inlineStr">
        <is>
          <t xml:space="preserve">Important </t>
        </is>
      </c>
      <c r="BK186" t="inlineStr">
        <is>
          <t xml:space="preserve">Did not screen partner </t>
        </is>
      </c>
      <c r="BP186" t="inlineStr">
        <is>
          <t xml:space="preserve">Agree </t>
        </is>
      </c>
      <c r="BQ186" t="inlineStr">
        <is>
          <t xml:space="preserve">Yes </t>
        </is>
      </c>
      <c r="BS186" t="inlineStr">
        <is>
          <t>All</t>
        </is>
      </c>
      <c r="BT186" t="inlineStr">
        <is>
          <t>All</t>
        </is>
      </c>
      <c r="BU186" t="inlineStr">
        <is>
          <t>Some</t>
        </is>
      </c>
      <c r="CD186" t="inlineStr">
        <is>
          <t xml:space="preserve">Very easy </t>
        </is>
      </c>
      <c r="CE186" t="inlineStr">
        <is>
          <t xml:space="preserve"> Very important</t>
        </is>
      </c>
      <c r="CF186" t="n">
        <v>679129466</v>
      </c>
      <c r="CG186" t="inlineStr">
        <is>
          <t>b9e7ae25-ec65-4324-86ea-625bc2f059c4</t>
        </is>
      </c>
      <c r="CH186" s="1" t="n">
        <v>46077.63979166667</v>
      </c>
      <c r="CK186" t="inlineStr">
        <is>
          <t>submitted_via_web</t>
        </is>
      </c>
      <c r="CM186" t="inlineStr">
        <is>
          <t>vteYUDpqfKnk39PHFZkvPS</t>
        </is>
      </c>
      <c r="CO186" t="inlineStr">
        <is>
          <t>uuid:b9e7ae25-ec65-4324-86ea-625bc2f059c4</t>
        </is>
      </c>
      <c r="CP186" t="n">
        <v>185</v>
      </c>
      <c r="CQ186" t="n">
        <v>4</v>
      </c>
      <c r="CR186" t="n">
        <v>0.07379052829950983</v>
      </c>
    </row>
    <row r="187">
      <c r="A187" s="1" t="n">
        <v>46077.86896481481</v>
      </c>
      <c r="B187" s="1" t="n">
        <v>46077.89878484954</v>
      </c>
      <c r="D187" t="inlineStr">
        <is>
          <t>27</t>
        </is>
      </c>
      <c r="E187" t="inlineStr">
        <is>
          <t>Female</t>
        </is>
      </c>
      <c r="F187" t="inlineStr">
        <is>
          <t>Sinhalese</t>
        </is>
      </c>
      <c r="H187" t="inlineStr">
        <is>
          <t>Buddhist</t>
        </is>
      </c>
      <c r="J187" t="inlineStr">
        <is>
          <t>Not employed</t>
        </is>
      </c>
      <c r="L187" t="inlineStr">
        <is>
          <t xml:space="preserve">Undergraduate </t>
        </is>
      </c>
      <c r="M187" t="inlineStr">
        <is>
          <t xml:space="preserve">North Central </t>
        </is>
      </c>
      <c r="N187" t="inlineStr">
        <is>
          <t>Single</t>
        </is>
      </c>
      <c r="R187" s="1" t="n">
        <v>44616</v>
      </c>
      <c r="S187" t="inlineStr">
        <is>
          <t xml:space="preserve">During school/university  </t>
        </is>
      </c>
      <c r="U187" t="inlineStr">
        <is>
          <t>Yes</t>
        </is>
      </c>
      <c r="V187" t="inlineStr">
        <is>
          <t xml:space="preserve">Thalassemia major (severe form)   Thalassemia minor or trait (carrier form) Thalassemia intermedia (moderate form) </t>
        </is>
      </c>
      <c r="W187" t="n">
        <v>1</v>
      </c>
      <c r="X187" t="n">
        <v>1</v>
      </c>
      <c r="Y187" t="n">
        <v>1</v>
      </c>
      <c r="Z187" t="n">
        <v>0</v>
      </c>
      <c r="AA187" t="inlineStr">
        <is>
          <t xml:space="preserve">Thalassemia major (severe form)  </t>
        </is>
      </c>
      <c r="AB187" t="n">
        <v>1</v>
      </c>
      <c r="AC187" t="n">
        <v>0</v>
      </c>
      <c r="AD187" t="n">
        <v>0</v>
      </c>
      <c r="AE187" t="n">
        <v>0</v>
      </c>
      <c r="AF187" t="inlineStr">
        <is>
          <t>Thalassemia minor or trait (carrier form)</t>
        </is>
      </c>
      <c r="AG187" t="n">
        <v>0</v>
      </c>
      <c r="AH187" t="n">
        <v>1</v>
      </c>
      <c r="AI187" t="n">
        <v>0</v>
      </c>
      <c r="AJ187" t="n">
        <v>0</v>
      </c>
      <c r="AK187" t="inlineStr">
        <is>
          <t>Yes</t>
        </is>
      </c>
      <c r="AL187" t="inlineStr">
        <is>
          <t xml:space="preserve">Cannot be cured   </t>
        </is>
      </c>
      <c r="AM187" t="inlineStr">
        <is>
          <t xml:space="preserve">Can be prevented </t>
        </is>
      </c>
      <c r="AN187" t="inlineStr">
        <is>
          <t xml:space="preserve">From generation to generation (hereditary)  </t>
        </is>
      </c>
      <c r="AO187" t="inlineStr">
        <is>
          <t>Healthy</t>
        </is>
      </c>
      <c r="AP187" t="inlineStr">
        <is>
          <t xml:space="preserve">Has a chance to be affected (e.g., 25%) </t>
        </is>
      </c>
      <c r="AQ187" t="inlineStr">
        <is>
          <t xml:space="preserve">Yes </t>
        </is>
      </c>
      <c r="AR187" t="inlineStr">
        <is>
          <t>Don’t know</t>
        </is>
      </c>
      <c r="AS187" t="inlineStr">
        <is>
          <t>Regular blood transfusions for life  Iron overload affecting heart and liver  Delayed growth and puberty Frequent nosebleeds Fatigue Bone deformities</t>
        </is>
      </c>
      <c r="AT187" t="n">
        <v>1</v>
      </c>
      <c r="AU187" t="n">
        <v>1</v>
      </c>
      <c r="AV187" t="n">
        <v>1</v>
      </c>
      <c r="AW187" t="n">
        <v>0</v>
      </c>
      <c r="AX187" t="n">
        <v>0</v>
      </c>
      <c r="AY187" t="n">
        <v>1</v>
      </c>
      <c r="AZ187" t="n">
        <v>1</v>
      </c>
      <c r="BA187" t="n">
        <v>1</v>
      </c>
      <c r="BB187" t="inlineStr">
        <is>
          <t xml:space="preserve"> Get the partner tested before marriage   Get family members tested </t>
        </is>
      </c>
      <c r="BC187" t="n">
        <v>1</v>
      </c>
      <c r="BD187" t="n">
        <v>1</v>
      </c>
      <c r="BE187" t="n">
        <v>0</v>
      </c>
      <c r="BF187" t="n">
        <v>0</v>
      </c>
      <c r="BG187" t="inlineStr">
        <is>
          <t xml:space="preserve">Family </t>
        </is>
      </c>
      <c r="BH187" t="inlineStr">
        <is>
          <t>Definitely not</t>
        </is>
      </c>
      <c r="BI187" t="inlineStr">
        <is>
          <t xml:space="preserve">No </t>
        </is>
      </c>
      <c r="BJ187" t="inlineStr">
        <is>
          <t xml:space="preserve">Very important </t>
        </is>
      </c>
      <c r="BP187" t="inlineStr">
        <is>
          <t xml:space="preserve">Agree </t>
        </is>
      </c>
      <c r="BQ187" t="inlineStr">
        <is>
          <t xml:space="preserve">Yes </t>
        </is>
      </c>
      <c r="BS187" t="inlineStr">
        <is>
          <t>All</t>
        </is>
      </c>
      <c r="BT187" t="inlineStr">
        <is>
          <t>Some</t>
        </is>
      </c>
      <c r="BU187" t="inlineStr">
        <is>
          <t>Some</t>
        </is>
      </c>
      <c r="BV187" t="inlineStr">
        <is>
          <t>Perception that screening was unnecessary</t>
        </is>
      </c>
      <c r="BW187" t="n">
        <v>0</v>
      </c>
      <c r="BX187" t="n">
        <v>0</v>
      </c>
      <c r="BY187" t="n">
        <v>0</v>
      </c>
      <c r="BZ187" t="n">
        <v>1</v>
      </c>
      <c r="CA187" t="n">
        <v>0</v>
      </c>
      <c r="CB187" t="n">
        <v>0</v>
      </c>
      <c r="CD187" t="inlineStr">
        <is>
          <t xml:space="preserve">Very easy </t>
        </is>
      </c>
      <c r="CE187" t="inlineStr">
        <is>
          <t xml:space="preserve"> Very important</t>
        </is>
      </c>
      <c r="CF187" t="n">
        <v>679160704</v>
      </c>
      <c r="CG187" t="inlineStr">
        <is>
          <t>d7270a18-1d03-4431-a2db-8472a89a7ef7</t>
        </is>
      </c>
      <c r="CH187" s="1" t="n">
        <v>46077.66961805556</v>
      </c>
      <c r="CK187" t="inlineStr">
        <is>
          <t>submitted_via_web</t>
        </is>
      </c>
      <c r="CM187" t="inlineStr">
        <is>
          <t>vteYUDpqfKnk39PHFZkvPS</t>
        </is>
      </c>
      <c r="CO187" t="inlineStr">
        <is>
          <t>uuid:d7270a18-1d03-4431-a2db-8472a89a7ef7</t>
        </is>
      </c>
      <c r="CP187" t="n">
        <v>186</v>
      </c>
      <c r="CQ187" t="n">
        <v>9</v>
      </c>
      <c r="CR187" t="n">
        <v>2.025355816220758</v>
      </c>
    </row>
    <row r="188">
      <c r="A188" s="1" t="n">
        <v>46077.89878724537</v>
      </c>
      <c r="B188" s="1" t="n">
        <v>46077.90310951389</v>
      </c>
      <c r="D188" t="inlineStr">
        <is>
          <t>53</t>
        </is>
      </c>
      <c r="E188" t="inlineStr">
        <is>
          <t xml:space="preserve">Male </t>
        </is>
      </c>
      <c r="F188" t="inlineStr">
        <is>
          <t>Sinhalese</t>
        </is>
      </c>
      <c r="H188" t="inlineStr">
        <is>
          <t>Buddhist</t>
        </is>
      </c>
      <c r="J188" t="inlineStr">
        <is>
          <t>Private sector</t>
        </is>
      </c>
      <c r="K188" t="inlineStr">
        <is>
          <t>&gt; 100,000</t>
        </is>
      </c>
      <c r="L188" t="inlineStr">
        <is>
          <t xml:space="preserve">Graduate </t>
        </is>
      </c>
      <c r="M188" t="inlineStr">
        <is>
          <t>Western</t>
        </is>
      </c>
      <c r="N188" t="inlineStr">
        <is>
          <t xml:space="preserve">Married </t>
        </is>
      </c>
      <c r="O188" t="inlineStr">
        <is>
          <t xml:space="preserve">Yes, more than one child </t>
        </is>
      </c>
      <c r="P188" t="inlineStr">
        <is>
          <t>No</t>
        </is>
      </c>
      <c r="R188" s="1" t="n">
        <v>44616</v>
      </c>
      <c r="S188" t="inlineStr">
        <is>
          <t>At workplace</t>
        </is>
      </c>
      <c r="U188" t="inlineStr">
        <is>
          <t>Yes</t>
        </is>
      </c>
      <c r="V188" t="inlineStr">
        <is>
          <t>Thalassemia major (severe form)   Thalassemia minor or trait (carrier form)</t>
        </is>
      </c>
      <c r="W188" t="n">
        <v>1</v>
      </c>
      <c r="X188" t="n">
        <v>1</v>
      </c>
      <c r="Y188" t="n">
        <v>0</v>
      </c>
      <c r="Z188" t="n">
        <v>0</v>
      </c>
      <c r="AA188" t="inlineStr">
        <is>
          <t>Thalassemia major (severe form)   Thalassemia minor or trait (carrier form)</t>
        </is>
      </c>
      <c r="AB188" t="n">
        <v>1</v>
      </c>
      <c r="AC188" t="n">
        <v>1</v>
      </c>
      <c r="AD188" t="n">
        <v>0</v>
      </c>
      <c r="AE188" t="n">
        <v>0</v>
      </c>
      <c r="AF188" t="inlineStr">
        <is>
          <t>Thalassemia minor or trait (carrier form)</t>
        </is>
      </c>
      <c r="AG188" t="n">
        <v>0</v>
      </c>
      <c r="AH188" t="n">
        <v>1</v>
      </c>
      <c r="AI188" t="n">
        <v>0</v>
      </c>
      <c r="AJ188" t="n">
        <v>0</v>
      </c>
      <c r="AK188" t="inlineStr">
        <is>
          <t>Yes</t>
        </is>
      </c>
      <c r="AL188" t="inlineStr">
        <is>
          <t xml:space="preserve">Cannot be cured   </t>
        </is>
      </c>
      <c r="AM188" t="inlineStr">
        <is>
          <t xml:space="preserve">Can be prevented </t>
        </is>
      </c>
      <c r="AN188" t="inlineStr">
        <is>
          <t xml:space="preserve">From generation to generation (hereditary)  </t>
        </is>
      </c>
      <c r="AO188" t="inlineStr">
        <is>
          <t>Healthy</t>
        </is>
      </c>
      <c r="AP188" t="inlineStr">
        <is>
          <t xml:space="preserve">Has a chance to be affected (e.g., 25%) </t>
        </is>
      </c>
      <c r="AQ188" t="inlineStr">
        <is>
          <t xml:space="preserve">Yes </t>
        </is>
      </c>
      <c r="AR188" t="inlineStr">
        <is>
          <t>Don’t know</t>
        </is>
      </c>
      <c r="AS188" t="inlineStr">
        <is>
          <t>Regular blood transfusions for life  Iron overload affecting heart and liver  Fatigue</t>
        </is>
      </c>
      <c r="AT188" t="n">
        <v>1</v>
      </c>
      <c r="AU188" t="n">
        <v>1</v>
      </c>
      <c r="AV188" t="n">
        <v>0</v>
      </c>
      <c r="AW188" t="n">
        <v>0</v>
      </c>
      <c r="AX188" t="n">
        <v>0</v>
      </c>
      <c r="AY188" t="n">
        <v>0</v>
      </c>
      <c r="AZ188" t="n">
        <v>1</v>
      </c>
      <c r="BA188" t="n">
        <v>0</v>
      </c>
      <c r="BB188" t="inlineStr">
        <is>
          <t xml:space="preserve"> Get the partner tested before marriage   Get family members tested </t>
        </is>
      </c>
      <c r="BC188" t="n">
        <v>1</v>
      </c>
      <c r="BD188" t="n">
        <v>1</v>
      </c>
      <c r="BE188" t="n">
        <v>0</v>
      </c>
      <c r="BF188" t="n">
        <v>0</v>
      </c>
      <c r="BG188" t="inlineStr">
        <is>
          <t>Mass media (TV, newspapers, social media)</t>
        </is>
      </c>
      <c r="BH188" t="inlineStr">
        <is>
          <t>Definitely not</t>
        </is>
      </c>
      <c r="BI188" t="inlineStr">
        <is>
          <t>Not sure</t>
        </is>
      </c>
      <c r="BJ188" t="inlineStr">
        <is>
          <t>Not important</t>
        </is>
      </c>
      <c r="BK188" t="inlineStr">
        <is>
          <t xml:space="preserve">Did not screen partner </t>
        </is>
      </c>
      <c r="BM188" t="inlineStr">
        <is>
          <t xml:space="preserve">Did not think it was necessary </t>
        </is>
      </c>
      <c r="BP188" t="inlineStr">
        <is>
          <t xml:space="preserve">Agree </t>
        </is>
      </c>
      <c r="BQ188" t="inlineStr">
        <is>
          <t xml:space="preserve">Yes </t>
        </is>
      </c>
      <c r="BS188" t="inlineStr">
        <is>
          <t>Some</t>
        </is>
      </c>
      <c r="BT188" t="inlineStr">
        <is>
          <t>None</t>
        </is>
      </c>
      <c r="BU188" t="inlineStr">
        <is>
          <t>None</t>
        </is>
      </c>
      <c r="BV188" t="inlineStr">
        <is>
          <t>Lack of knowledge  Perception that screening was unnecessary</t>
        </is>
      </c>
      <c r="BW188" t="n">
        <v>1</v>
      </c>
      <c r="BX188" t="n">
        <v>0</v>
      </c>
      <c r="BY188" t="n">
        <v>0</v>
      </c>
      <c r="BZ188" t="n">
        <v>1</v>
      </c>
      <c r="CA188" t="n">
        <v>0</v>
      </c>
      <c r="CB188" t="n">
        <v>0</v>
      </c>
      <c r="CD188" t="inlineStr">
        <is>
          <t xml:space="preserve">Difficult </t>
        </is>
      </c>
      <c r="CE188" t="inlineStr">
        <is>
          <t xml:space="preserve">Important </t>
        </is>
      </c>
      <c r="CF188" t="n">
        <v>679165000</v>
      </c>
      <c r="CG188" t="inlineStr">
        <is>
          <t>b6015c5b-3956-4657-948d-2436385619fa</t>
        </is>
      </c>
      <c r="CH188" s="1" t="n">
        <v>46077.67394675926</v>
      </c>
      <c r="CK188" t="inlineStr">
        <is>
          <t>submitted_via_web</t>
        </is>
      </c>
      <c r="CM188" t="inlineStr">
        <is>
          <t>vteYUDpqfKnk39PHFZkvPS</t>
        </is>
      </c>
      <c r="CO188" t="inlineStr">
        <is>
          <t>uuid:b6015c5b-3956-4657-948d-2436385619fa</t>
        </is>
      </c>
      <c r="CP188" t="n">
        <v>187</v>
      </c>
      <c r="CQ188" t="n">
        <v>5</v>
      </c>
      <c r="CR188" t="n">
        <v>0.4641035858837596</v>
      </c>
    </row>
    <row r="189">
      <c r="A189" s="1" t="n">
        <v>46077.90311083334</v>
      </c>
      <c r="B189" s="1" t="n">
        <v>46077.90917512732</v>
      </c>
      <c r="D189" t="inlineStr">
        <is>
          <t>41</t>
        </is>
      </c>
      <c r="E189" t="inlineStr">
        <is>
          <t xml:space="preserve">Male </t>
        </is>
      </c>
      <c r="F189" t="inlineStr">
        <is>
          <t>Sinhalese</t>
        </is>
      </c>
      <c r="H189" t="inlineStr">
        <is>
          <t>Buddhist</t>
        </is>
      </c>
      <c r="J189" t="inlineStr">
        <is>
          <t>Private sector</t>
        </is>
      </c>
      <c r="K189" t="inlineStr">
        <is>
          <t>&gt; 100,000</t>
        </is>
      </c>
      <c r="L189" t="inlineStr">
        <is>
          <t xml:space="preserve">Up to A/L </t>
        </is>
      </c>
      <c r="M189" t="inlineStr">
        <is>
          <t>Western</t>
        </is>
      </c>
      <c r="N189" t="inlineStr">
        <is>
          <t xml:space="preserve">Married </t>
        </is>
      </c>
      <c r="O189" t="inlineStr">
        <is>
          <t xml:space="preserve">Yes, only one child </t>
        </is>
      </c>
      <c r="P189" t="inlineStr">
        <is>
          <t>No</t>
        </is>
      </c>
      <c r="R189" s="1" t="n">
        <v>43520</v>
      </c>
      <c r="S189" t="inlineStr">
        <is>
          <t>At workplace</t>
        </is>
      </c>
      <c r="U189" t="inlineStr">
        <is>
          <t>Yes</t>
        </is>
      </c>
      <c r="V189" t="inlineStr">
        <is>
          <t>Thalassemia major (severe form)   Thalassemia minor or trait (carrier form)</t>
        </is>
      </c>
      <c r="W189" t="n">
        <v>1</v>
      </c>
      <c r="X189" t="n">
        <v>1</v>
      </c>
      <c r="Y189" t="n">
        <v>0</v>
      </c>
      <c r="Z189" t="n">
        <v>0</v>
      </c>
      <c r="AA189" t="inlineStr">
        <is>
          <t xml:space="preserve">Thalassemia major (severe form)  </t>
        </is>
      </c>
      <c r="AB189" t="n">
        <v>1</v>
      </c>
      <c r="AC189" t="n">
        <v>0</v>
      </c>
      <c r="AD189" t="n">
        <v>0</v>
      </c>
      <c r="AE189" t="n">
        <v>0</v>
      </c>
      <c r="AF189" t="inlineStr">
        <is>
          <t>Thalassemia minor or trait (carrier form)</t>
        </is>
      </c>
      <c r="AG189" t="n">
        <v>0</v>
      </c>
      <c r="AH189" t="n">
        <v>1</v>
      </c>
      <c r="AI189" t="n">
        <v>0</v>
      </c>
      <c r="AJ189" t="n">
        <v>0</v>
      </c>
      <c r="AK189" t="inlineStr">
        <is>
          <t>Yes</t>
        </is>
      </c>
      <c r="AL189" t="inlineStr">
        <is>
          <t>Very difficult (e.g., bone marrow transplant)</t>
        </is>
      </c>
      <c r="AM189" t="inlineStr">
        <is>
          <t xml:space="preserve">Can be prevented </t>
        </is>
      </c>
      <c r="AN189" t="inlineStr">
        <is>
          <t xml:space="preserve">From generation to generation (hereditary)  </t>
        </is>
      </c>
      <c r="AO189" t="inlineStr">
        <is>
          <t>Healthy</t>
        </is>
      </c>
      <c r="AP189" t="inlineStr">
        <is>
          <t xml:space="preserve">Has a chance to be affected (e.g., 25%) </t>
        </is>
      </c>
      <c r="AQ189" t="inlineStr">
        <is>
          <t xml:space="preserve">Yes </t>
        </is>
      </c>
      <c r="AR189" t="inlineStr">
        <is>
          <t>Don’t know</t>
        </is>
      </c>
      <c r="AS189" t="inlineStr">
        <is>
          <t>Regular blood transfusions for life  Delayed growth and puberty Risk of infections from transfusions Frequent nosebleeds Fatigue</t>
        </is>
      </c>
      <c r="AT189" t="n">
        <v>1</v>
      </c>
      <c r="AU189" t="n">
        <v>0</v>
      </c>
      <c r="AV189" t="n">
        <v>1</v>
      </c>
      <c r="AW189" t="n">
        <v>0</v>
      </c>
      <c r="AX189" t="n">
        <v>1</v>
      </c>
      <c r="AY189" t="n">
        <v>1</v>
      </c>
      <c r="AZ189" t="n">
        <v>1</v>
      </c>
      <c r="BA189" t="n">
        <v>0</v>
      </c>
      <c r="BG189" t="inlineStr">
        <is>
          <t xml:space="preserve">School  </t>
        </is>
      </c>
      <c r="BI189" t="inlineStr">
        <is>
          <t xml:space="preserve">Yes </t>
        </is>
      </c>
      <c r="BJ189" t="inlineStr">
        <is>
          <t xml:space="preserve">Very important </t>
        </is>
      </c>
      <c r="BK189" t="inlineStr">
        <is>
          <t xml:space="preserve">Did not screen partner </t>
        </is>
      </c>
      <c r="BP189" t="inlineStr">
        <is>
          <t xml:space="preserve">Agree </t>
        </is>
      </c>
      <c r="BQ189" t="inlineStr">
        <is>
          <t>No</t>
        </is>
      </c>
      <c r="BS189" t="inlineStr">
        <is>
          <t>None</t>
        </is>
      </c>
      <c r="BT189" t="inlineStr">
        <is>
          <t>None</t>
        </is>
      </c>
      <c r="BU189" t="inlineStr">
        <is>
          <t>None</t>
        </is>
      </c>
      <c r="BV189" t="inlineStr">
        <is>
          <t>Lack of knowledge  Perception that screening was unnecessary</t>
        </is>
      </c>
      <c r="BW189" t="n">
        <v>1</v>
      </c>
      <c r="BX189" t="n">
        <v>0</v>
      </c>
      <c r="BY189" t="n">
        <v>0</v>
      </c>
      <c r="BZ189" t="n">
        <v>1</v>
      </c>
      <c r="CA189" t="n">
        <v>0</v>
      </c>
      <c r="CB189" t="n">
        <v>0</v>
      </c>
      <c r="CD189" t="inlineStr">
        <is>
          <t xml:space="preserve">Very easy </t>
        </is>
      </c>
      <c r="CE189" t="inlineStr">
        <is>
          <t xml:space="preserve">Important </t>
        </is>
      </c>
      <c r="CF189" t="n">
        <v>679171819</v>
      </c>
      <c r="CG189" t="inlineStr">
        <is>
          <t>2b3bba2a-fa0c-4846-956a-ff65189f2a1b</t>
        </is>
      </c>
      <c r="CH189" s="1" t="n">
        <v>46077.68</v>
      </c>
      <c r="CK189" t="inlineStr">
        <is>
          <t>submitted_via_web</t>
        </is>
      </c>
      <c r="CM189" t="inlineStr">
        <is>
          <t>vteYUDpqfKnk39PHFZkvPS</t>
        </is>
      </c>
      <c r="CO189" t="inlineStr">
        <is>
          <t>uuid:2b3bba2a-fa0c-4846-956a-ff65189f2a1b</t>
        </is>
      </c>
      <c r="CP189" t="n">
        <v>188</v>
      </c>
      <c r="CQ189" t="n">
        <v>7</v>
      </c>
      <c r="CR189" t="n">
        <v>1.244729701052259</v>
      </c>
    </row>
    <row r="190">
      <c r="A190" s="1" t="n">
        <v>46077.61241700232</v>
      </c>
      <c r="B190" s="1" t="n">
        <v>46077.91710894676</v>
      </c>
      <c r="D190" t="inlineStr">
        <is>
          <t>48</t>
        </is>
      </c>
      <c r="E190" t="inlineStr">
        <is>
          <t xml:space="preserve">Male </t>
        </is>
      </c>
      <c r="F190" t="inlineStr">
        <is>
          <t>Sinhalese</t>
        </is>
      </c>
      <c r="H190" t="inlineStr">
        <is>
          <t>Buddhist</t>
        </is>
      </c>
      <c r="J190" t="inlineStr">
        <is>
          <t>Private sector</t>
        </is>
      </c>
      <c r="K190" t="inlineStr">
        <is>
          <t>51,000 – 100,000</t>
        </is>
      </c>
      <c r="L190" t="inlineStr">
        <is>
          <t xml:space="preserve">Up to O/L </t>
        </is>
      </c>
      <c r="M190" t="inlineStr">
        <is>
          <t xml:space="preserve">North Western </t>
        </is>
      </c>
      <c r="N190" t="inlineStr">
        <is>
          <t xml:space="preserve">Married </t>
        </is>
      </c>
      <c r="O190" t="inlineStr">
        <is>
          <t xml:space="preserve">Yes, more than one child </t>
        </is>
      </c>
      <c r="P190" t="inlineStr">
        <is>
          <t>No</t>
        </is>
      </c>
      <c r="R190" s="1" t="n">
        <v>43520</v>
      </c>
      <c r="S190" t="inlineStr">
        <is>
          <t>During community screening</t>
        </is>
      </c>
      <c r="U190" t="inlineStr">
        <is>
          <t>Yes</t>
        </is>
      </c>
      <c r="V190" t="inlineStr">
        <is>
          <t>I don’t know</t>
        </is>
      </c>
      <c r="W190" t="n">
        <v>0</v>
      </c>
      <c r="X190" t="n">
        <v>0</v>
      </c>
      <c r="Y190" t="n">
        <v>0</v>
      </c>
      <c r="Z190" t="n">
        <v>1</v>
      </c>
      <c r="AA190" t="inlineStr">
        <is>
          <t>I don’t know</t>
        </is>
      </c>
      <c r="AB190" t="n">
        <v>0</v>
      </c>
      <c r="AC190" t="n">
        <v>0</v>
      </c>
      <c r="AD190" t="n">
        <v>0</v>
      </c>
      <c r="AE190" t="n">
        <v>1</v>
      </c>
      <c r="AF190" t="inlineStr">
        <is>
          <t>I don’t know</t>
        </is>
      </c>
      <c r="AG190" t="n">
        <v>0</v>
      </c>
      <c r="AH190" t="n">
        <v>0</v>
      </c>
      <c r="AI190" t="n">
        <v>0</v>
      </c>
      <c r="AJ190" t="n">
        <v>1</v>
      </c>
      <c r="AK190" t="inlineStr">
        <is>
          <t>Don’t know</t>
        </is>
      </c>
      <c r="AL190" t="inlineStr">
        <is>
          <t>Can be cured with common treatments</t>
        </is>
      </c>
      <c r="AM190" t="inlineStr">
        <is>
          <t>Not sure</t>
        </is>
      </c>
      <c r="AN190" t="inlineStr">
        <is>
          <t xml:space="preserve">From generation to generation (hereditary)  </t>
        </is>
      </c>
      <c r="AO190" t="inlineStr">
        <is>
          <t>Healthy</t>
        </is>
      </c>
      <c r="AP190" t="inlineStr">
        <is>
          <t xml:space="preserve">Has a chance to be affected (e.g., 25%) </t>
        </is>
      </c>
      <c r="AQ190" t="inlineStr">
        <is>
          <t xml:space="preserve">Yes </t>
        </is>
      </c>
      <c r="AR190" t="inlineStr">
        <is>
          <t>Don’t know</t>
        </is>
      </c>
      <c r="BB190" t="inlineStr">
        <is>
          <t xml:space="preserve"> Get the partner tested before marriage   Get family members tested </t>
        </is>
      </c>
      <c r="BC190" t="n">
        <v>1</v>
      </c>
      <c r="BD190" t="n">
        <v>1</v>
      </c>
      <c r="BE190" t="n">
        <v>0</v>
      </c>
      <c r="BF190" t="n">
        <v>0</v>
      </c>
      <c r="BG190" t="inlineStr">
        <is>
          <t>Only found out after screening</t>
        </is>
      </c>
      <c r="BH190" t="inlineStr">
        <is>
          <t>Definitely not</t>
        </is>
      </c>
      <c r="BI190" t="inlineStr">
        <is>
          <t>Not sure</t>
        </is>
      </c>
      <c r="BJ190" t="inlineStr">
        <is>
          <t>Not important</t>
        </is>
      </c>
      <c r="BK190" t="inlineStr">
        <is>
          <t xml:space="preserve">Did not screen partner </t>
        </is>
      </c>
      <c r="BP190" t="inlineStr">
        <is>
          <t xml:space="preserve">Agree </t>
        </is>
      </c>
      <c r="BQ190" t="inlineStr">
        <is>
          <t>No</t>
        </is>
      </c>
      <c r="BS190" t="inlineStr">
        <is>
          <t>None</t>
        </is>
      </c>
      <c r="BT190" t="inlineStr">
        <is>
          <t>None</t>
        </is>
      </c>
      <c r="BU190" t="inlineStr">
        <is>
          <t>None</t>
        </is>
      </c>
      <c r="BV190" t="inlineStr">
        <is>
          <t>Lack of knowledge  Perception that screening was unnecessary</t>
        </is>
      </c>
      <c r="BW190" t="n">
        <v>1</v>
      </c>
      <c r="BX190" t="n">
        <v>0</v>
      </c>
      <c r="BY190" t="n">
        <v>0</v>
      </c>
      <c r="BZ190" t="n">
        <v>1</v>
      </c>
      <c r="CA190" t="n">
        <v>0</v>
      </c>
      <c r="CB190" t="n">
        <v>0</v>
      </c>
      <c r="CD190" t="inlineStr">
        <is>
          <t xml:space="preserve">Very easy </t>
        </is>
      </c>
      <c r="CE190" t="inlineStr">
        <is>
          <t xml:space="preserve"> Very important</t>
        </is>
      </c>
      <c r="CF190" t="n">
        <v>679180324</v>
      </c>
      <c r="CG190" t="inlineStr">
        <is>
          <t>f2201de8-bb3b-4258-8991-381fe966d66c</t>
        </is>
      </c>
      <c r="CH190" s="1" t="n">
        <v>46077.68795138889</v>
      </c>
      <c r="CK190" t="inlineStr">
        <is>
          <t>submitted_via_web</t>
        </is>
      </c>
      <c r="CM190" t="inlineStr">
        <is>
          <t>vteYUDpqfKnk39PHFZkvPS</t>
        </is>
      </c>
      <c r="CO190" t="inlineStr">
        <is>
          <t>uuid:f2201de8-bb3b-4258-8991-381fe966d66c</t>
        </is>
      </c>
      <c r="CP190" t="n">
        <v>189</v>
      </c>
      <c r="CQ190" t="n">
        <v>0</v>
      </c>
      <c r="CR190" t="n">
        <v>-1.487461702037489</v>
      </c>
    </row>
    <row r="191">
      <c r="A191" s="1" t="n">
        <v>46077.91710931713</v>
      </c>
      <c r="B191" s="1" t="n">
        <v>46077.92153662037</v>
      </c>
      <c r="D191" t="inlineStr">
        <is>
          <t>23</t>
        </is>
      </c>
      <c r="E191" t="inlineStr">
        <is>
          <t>Female</t>
        </is>
      </c>
      <c r="F191" t="inlineStr">
        <is>
          <t>Sinhalese</t>
        </is>
      </c>
      <c r="H191" t="inlineStr">
        <is>
          <t>Buddhist</t>
        </is>
      </c>
      <c r="J191" t="inlineStr">
        <is>
          <t>Not employed</t>
        </is>
      </c>
      <c r="L191" t="inlineStr">
        <is>
          <t xml:space="preserve">Undergraduate </t>
        </is>
      </c>
      <c r="M191" t="inlineStr">
        <is>
          <t>Western</t>
        </is>
      </c>
      <c r="N191" t="inlineStr">
        <is>
          <t>Single</t>
        </is>
      </c>
      <c r="P191" t="inlineStr">
        <is>
          <t>No</t>
        </is>
      </c>
      <c r="R191" s="1" t="n">
        <v>44616</v>
      </c>
      <c r="S191" t="inlineStr">
        <is>
          <t xml:space="preserve">During school/university  </t>
        </is>
      </c>
      <c r="U191" t="inlineStr">
        <is>
          <t>Yes</t>
        </is>
      </c>
      <c r="V191" t="inlineStr">
        <is>
          <t xml:space="preserve">Thalassemia major (severe form)   Thalassemia minor or trait (carrier form) Thalassemia intermedia (moderate form) </t>
        </is>
      </c>
      <c r="W191" t="n">
        <v>1</v>
      </c>
      <c r="X191" t="n">
        <v>1</v>
      </c>
      <c r="Y191" t="n">
        <v>1</v>
      </c>
      <c r="Z191" t="n">
        <v>0</v>
      </c>
      <c r="AA191" t="inlineStr">
        <is>
          <t xml:space="preserve">Thalassemia major (severe form)  </t>
        </is>
      </c>
      <c r="AB191" t="n">
        <v>1</v>
      </c>
      <c r="AC191" t="n">
        <v>0</v>
      </c>
      <c r="AD191" t="n">
        <v>0</v>
      </c>
      <c r="AE191" t="n">
        <v>0</v>
      </c>
      <c r="AF191" t="inlineStr">
        <is>
          <t>Thalassemia minor or trait (carrier form)</t>
        </is>
      </c>
      <c r="AG191" t="n">
        <v>0</v>
      </c>
      <c r="AH191" t="n">
        <v>1</v>
      </c>
      <c r="AI191" t="n">
        <v>0</v>
      </c>
      <c r="AJ191" t="n">
        <v>0</v>
      </c>
      <c r="AK191" t="inlineStr">
        <is>
          <t>Yes</t>
        </is>
      </c>
      <c r="AL191" t="inlineStr">
        <is>
          <t>Very difficult (e.g., bone marrow transplant)</t>
        </is>
      </c>
      <c r="AM191" t="inlineStr">
        <is>
          <t xml:space="preserve">Can be prevented </t>
        </is>
      </c>
      <c r="AN191" t="inlineStr">
        <is>
          <t xml:space="preserve">From generation to generation (hereditary)  </t>
        </is>
      </c>
      <c r="AP191" t="inlineStr">
        <is>
          <t xml:space="preserve">Always healthy  </t>
        </is>
      </c>
      <c r="AQ191" t="inlineStr">
        <is>
          <t xml:space="preserve">Yes </t>
        </is>
      </c>
      <c r="AR191" t="inlineStr">
        <is>
          <t>Don’t know</t>
        </is>
      </c>
      <c r="AS191" t="inlineStr">
        <is>
          <t>Regular blood transfusions for life  Delayed growth and puberty Frequent nosebleeds</t>
        </is>
      </c>
      <c r="AT191" t="n">
        <v>1</v>
      </c>
      <c r="AU191" t="n">
        <v>0</v>
      </c>
      <c r="AV191" t="n">
        <v>1</v>
      </c>
      <c r="AW191" t="n">
        <v>0</v>
      </c>
      <c r="AX191" t="n">
        <v>0</v>
      </c>
      <c r="AY191" t="n">
        <v>1</v>
      </c>
      <c r="AZ191" t="n">
        <v>0</v>
      </c>
      <c r="BA191" t="n">
        <v>0</v>
      </c>
      <c r="BB191" t="inlineStr">
        <is>
          <t xml:space="preserve"> Get the partner tested before marriage   Get family members tested </t>
        </is>
      </c>
      <c r="BC191" t="n">
        <v>1</v>
      </c>
      <c r="BD191" t="n">
        <v>1</v>
      </c>
      <c r="BE191" t="n">
        <v>0</v>
      </c>
      <c r="BF191" t="n">
        <v>0</v>
      </c>
      <c r="BG191" t="inlineStr">
        <is>
          <t xml:space="preserve">School  </t>
        </is>
      </c>
      <c r="BH191" t="inlineStr">
        <is>
          <t>Definitely not</t>
        </is>
      </c>
      <c r="BJ191" t="inlineStr">
        <is>
          <t>Not important</t>
        </is>
      </c>
      <c r="BM191" t="inlineStr">
        <is>
          <t>Other</t>
        </is>
      </c>
      <c r="BN191" t="inlineStr">
        <is>
          <t>No partner yet</t>
        </is>
      </c>
      <c r="BP191" t="inlineStr">
        <is>
          <t xml:space="preserve">Agree </t>
        </is>
      </c>
      <c r="BQ191" t="inlineStr">
        <is>
          <t xml:space="preserve">Yes </t>
        </is>
      </c>
      <c r="BS191" t="inlineStr">
        <is>
          <t>None</t>
        </is>
      </c>
      <c r="BT191" t="inlineStr">
        <is>
          <t>Some</t>
        </is>
      </c>
      <c r="BU191" t="inlineStr">
        <is>
          <t>Don't know</t>
        </is>
      </c>
      <c r="BV191" t="inlineStr">
        <is>
          <t xml:space="preserve">Lack of knowledge </t>
        </is>
      </c>
      <c r="BW191" t="n">
        <v>1</v>
      </c>
      <c r="BX191" t="n">
        <v>0</v>
      </c>
      <c r="BY191" t="n">
        <v>0</v>
      </c>
      <c r="BZ191" t="n">
        <v>0</v>
      </c>
      <c r="CA191" t="n">
        <v>0</v>
      </c>
      <c r="CB191" t="n">
        <v>0</v>
      </c>
      <c r="CD191" t="inlineStr">
        <is>
          <t xml:space="preserve">Difficult </t>
        </is>
      </c>
      <c r="CE191" t="inlineStr">
        <is>
          <t xml:space="preserve">Important </t>
        </is>
      </c>
      <c r="CF191" t="n">
        <v>679184998</v>
      </c>
      <c r="CG191" t="inlineStr">
        <is>
          <t>ff26c792-4e9a-4549-9fe8-96193023474d</t>
        </is>
      </c>
      <c r="CH191" s="1" t="n">
        <v>46077.69238425926</v>
      </c>
      <c r="CK191" t="inlineStr">
        <is>
          <t>submitted_via_web</t>
        </is>
      </c>
      <c r="CM191" t="inlineStr">
        <is>
          <t>vteYUDpqfKnk39PHFZkvPS</t>
        </is>
      </c>
      <c r="CO191" t="inlineStr">
        <is>
          <t>uuid:ff26c792-4e9a-4549-9fe8-96193023474d</t>
        </is>
      </c>
      <c r="CP191" t="n">
        <v>190</v>
      </c>
      <c r="CQ191" t="n">
        <v>6</v>
      </c>
      <c r="CR191" t="n">
        <v>0.8544166434680093</v>
      </c>
    </row>
    <row r="192">
      <c r="A192" s="1" t="n">
        <v>46077.92153729167</v>
      </c>
      <c r="B192" s="1" t="n">
        <v>46077.92478239584</v>
      </c>
      <c r="D192" t="inlineStr">
        <is>
          <t>25</t>
        </is>
      </c>
      <c r="E192" t="inlineStr">
        <is>
          <t>Female</t>
        </is>
      </c>
      <c r="F192" t="inlineStr">
        <is>
          <t>Sinhalese</t>
        </is>
      </c>
      <c r="H192" t="inlineStr">
        <is>
          <t>Buddhist</t>
        </is>
      </c>
      <c r="J192" t="inlineStr">
        <is>
          <t>Not employed</t>
        </is>
      </c>
      <c r="L192" t="inlineStr">
        <is>
          <t xml:space="preserve">Up to A/L </t>
        </is>
      </c>
      <c r="M192" t="inlineStr">
        <is>
          <t>Western</t>
        </is>
      </c>
      <c r="N192" t="inlineStr">
        <is>
          <t>Single</t>
        </is>
      </c>
      <c r="P192" t="inlineStr">
        <is>
          <t>No</t>
        </is>
      </c>
      <c r="R192" s="1" t="n">
        <v>43520</v>
      </c>
      <c r="S192" t="inlineStr">
        <is>
          <t xml:space="preserve">During school/university  </t>
        </is>
      </c>
      <c r="U192" t="inlineStr">
        <is>
          <t>Yes</t>
        </is>
      </c>
      <c r="V192" t="inlineStr">
        <is>
          <t>Thalassemia major (severe form)   Thalassemia minor or trait (carrier form)</t>
        </is>
      </c>
      <c r="W192" t="n">
        <v>1</v>
      </c>
      <c r="X192" t="n">
        <v>1</v>
      </c>
      <c r="Y192" t="n">
        <v>0</v>
      </c>
      <c r="Z192" t="n">
        <v>0</v>
      </c>
      <c r="AA192" t="inlineStr">
        <is>
          <t xml:space="preserve">Thalassemia major (severe form)  </t>
        </is>
      </c>
      <c r="AB192" t="n">
        <v>1</v>
      </c>
      <c r="AC192" t="n">
        <v>0</v>
      </c>
      <c r="AD192" t="n">
        <v>0</v>
      </c>
      <c r="AE192" t="n">
        <v>0</v>
      </c>
      <c r="AF192" t="inlineStr">
        <is>
          <t>Thalassemia minor or trait (carrier form)</t>
        </is>
      </c>
      <c r="AG192" t="n">
        <v>0</v>
      </c>
      <c r="AH192" t="n">
        <v>1</v>
      </c>
      <c r="AI192" t="n">
        <v>0</v>
      </c>
      <c r="AJ192" t="n">
        <v>0</v>
      </c>
      <c r="AK192" t="inlineStr">
        <is>
          <t>Yes</t>
        </is>
      </c>
      <c r="AL192" t="inlineStr">
        <is>
          <t xml:space="preserve">Cannot be cured   </t>
        </is>
      </c>
      <c r="AM192" t="inlineStr">
        <is>
          <t>Cannot be prevented</t>
        </is>
      </c>
      <c r="AN192" t="inlineStr">
        <is>
          <t xml:space="preserve">From generation to generation (hereditary)  </t>
        </is>
      </c>
      <c r="AO192" t="inlineStr">
        <is>
          <t>Healthy</t>
        </is>
      </c>
      <c r="AP192" t="inlineStr">
        <is>
          <t xml:space="preserve">Has a chance to be affected (e.g., 25%) </t>
        </is>
      </c>
      <c r="AQ192" t="inlineStr">
        <is>
          <t xml:space="preserve">Yes </t>
        </is>
      </c>
      <c r="AR192" t="inlineStr">
        <is>
          <t>Don’t know</t>
        </is>
      </c>
      <c r="AS192" t="inlineStr">
        <is>
          <t>Regular blood transfusions for life  Fatigue</t>
        </is>
      </c>
      <c r="AT192" t="n">
        <v>1</v>
      </c>
      <c r="AU192" t="n">
        <v>0</v>
      </c>
      <c r="AV192" t="n">
        <v>0</v>
      </c>
      <c r="AW192" t="n">
        <v>0</v>
      </c>
      <c r="AX192" t="n">
        <v>0</v>
      </c>
      <c r="AY192" t="n">
        <v>0</v>
      </c>
      <c r="AZ192" t="n">
        <v>1</v>
      </c>
      <c r="BA192" t="n">
        <v>0</v>
      </c>
      <c r="BG192" t="inlineStr">
        <is>
          <t xml:space="preserve">School  </t>
        </is>
      </c>
      <c r="BH192" t="inlineStr">
        <is>
          <t>Definitely not</t>
        </is>
      </c>
      <c r="BI192" t="inlineStr">
        <is>
          <t xml:space="preserve">No </t>
        </is>
      </c>
      <c r="BJ192" t="inlineStr">
        <is>
          <t xml:space="preserve">Very important </t>
        </is>
      </c>
      <c r="BP192" t="inlineStr">
        <is>
          <t xml:space="preserve">Agree </t>
        </is>
      </c>
      <c r="BQ192" t="inlineStr">
        <is>
          <t xml:space="preserve">Yes </t>
        </is>
      </c>
      <c r="BS192" t="inlineStr">
        <is>
          <t>Some</t>
        </is>
      </c>
      <c r="BT192" t="inlineStr">
        <is>
          <t>None</t>
        </is>
      </c>
      <c r="BU192" t="inlineStr">
        <is>
          <t>None</t>
        </is>
      </c>
      <c r="BV192" t="inlineStr">
        <is>
          <t>Lack of knowledge  Perception that screening was unnecessary Cost or access issues</t>
        </is>
      </c>
      <c r="BW192" t="n">
        <v>1</v>
      </c>
      <c r="BX192" t="n">
        <v>0</v>
      </c>
      <c r="BY192" t="n">
        <v>0</v>
      </c>
      <c r="BZ192" t="n">
        <v>1</v>
      </c>
      <c r="CA192" t="n">
        <v>1</v>
      </c>
      <c r="CB192" t="n">
        <v>0</v>
      </c>
      <c r="CD192" t="inlineStr">
        <is>
          <t xml:space="preserve">Difficult </t>
        </is>
      </c>
      <c r="CE192" t="inlineStr">
        <is>
          <t xml:space="preserve">Important </t>
        </is>
      </c>
      <c r="CF192" t="n">
        <v>679188437</v>
      </c>
      <c r="CG192" t="inlineStr">
        <is>
          <t>6a8efdd0-f921-49c9-ad65-7a5e8860d0e6</t>
        </is>
      </c>
      <c r="CH192" s="1" t="n">
        <v>46077.695625</v>
      </c>
      <c r="CK192" t="inlineStr">
        <is>
          <t>submitted_via_web</t>
        </is>
      </c>
      <c r="CM192" t="inlineStr">
        <is>
          <t>vteYUDpqfKnk39PHFZkvPS</t>
        </is>
      </c>
      <c r="CO192" t="inlineStr">
        <is>
          <t>uuid:6a8efdd0-f921-49c9-ad65-7a5e8860d0e6</t>
        </is>
      </c>
      <c r="CP192" t="n">
        <v>191</v>
      </c>
      <c r="CQ192" t="n">
        <v>4</v>
      </c>
      <c r="CR192" t="n">
        <v>0.07379052829950983</v>
      </c>
    </row>
    <row r="193">
      <c r="A193" s="1" t="n">
        <v>46077.92478274306</v>
      </c>
      <c r="B193" s="1" t="n">
        <v>46077.92942824074</v>
      </c>
      <c r="D193" t="inlineStr">
        <is>
          <t>28</t>
        </is>
      </c>
      <c r="E193" t="inlineStr">
        <is>
          <t>Female</t>
        </is>
      </c>
      <c r="F193" t="inlineStr">
        <is>
          <t>Sinhalese</t>
        </is>
      </c>
      <c r="H193" t="inlineStr">
        <is>
          <t>Buddhist</t>
        </is>
      </c>
      <c r="J193" t="inlineStr">
        <is>
          <t>Government sector</t>
        </is>
      </c>
      <c r="K193" t="inlineStr">
        <is>
          <t>51,000 – 100,000</t>
        </is>
      </c>
      <c r="L193" t="inlineStr">
        <is>
          <t xml:space="preserve">Graduate </t>
        </is>
      </c>
      <c r="M193" t="inlineStr">
        <is>
          <t>Western</t>
        </is>
      </c>
      <c r="N193" t="inlineStr">
        <is>
          <t>Single</t>
        </is>
      </c>
      <c r="P193" t="inlineStr">
        <is>
          <t xml:space="preserve"> Yes </t>
        </is>
      </c>
      <c r="Q193" t="inlineStr">
        <is>
          <t>Thal minor father</t>
        </is>
      </c>
      <c r="R193" s="1" t="n">
        <v>43520</v>
      </c>
      <c r="S193" t="inlineStr">
        <is>
          <t xml:space="preserve">During school/university  </t>
        </is>
      </c>
      <c r="U193" t="inlineStr">
        <is>
          <t>Yes</t>
        </is>
      </c>
      <c r="V193" t="inlineStr">
        <is>
          <t>Thalassemia major (severe form)   Thalassemia minor or trait (carrier form)</t>
        </is>
      </c>
      <c r="W193" t="n">
        <v>1</v>
      </c>
      <c r="X193" t="n">
        <v>1</v>
      </c>
      <c r="Y193" t="n">
        <v>0</v>
      </c>
      <c r="Z193" t="n">
        <v>0</v>
      </c>
      <c r="AA193" t="inlineStr">
        <is>
          <t xml:space="preserve">Thalassemia major (severe form)  </t>
        </is>
      </c>
      <c r="AB193" t="n">
        <v>1</v>
      </c>
      <c r="AC193" t="n">
        <v>0</v>
      </c>
      <c r="AD193" t="n">
        <v>0</v>
      </c>
      <c r="AE193" t="n">
        <v>0</v>
      </c>
      <c r="AF193" t="inlineStr">
        <is>
          <t>Thalassemia minor or trait (carrier form)</t>
        </is>
      </c>
      <c r="AG193" t="n">
        <v>0</v>
      </c>
      <c r="AH193" t="n">
        <v>1</v>
      </c>
      <c r="AI193" t="n">
        <v>0</v>
      </c>
      <c r="AJ193" t="n">
        <v>0</v>
      </c>
      <c r="AK193" t="inlineStr">
        <is>
          <t>Don’t know</t>
        </is>
      </c>
      <c r="AL193" t="inlineStr">
        <is>
          <t xml:space="preserve">Cannot be cured   </t>
        </is>
      </c>
      <c r="AM193" t="inlineStr">
        <is>
          <t xml:space="preserve">Can be prevented </t>
        </is>
      </c>
      <c r="AN193" t="inlineStr">
        <is>
          <t xml:space="preserve">From generation to generation (hereditary)  </t>
        </is>
      </c>
      <c r="AO193" t="inlineStr">
        <is>
          <t>Healthy</t>
        </is>
      </c>
      <c r="AP193" t="inlineStr">
        <is>
          <t xml:space="preserve">Always healthy  </t>
        </is>
      </c>
      <c r="AQ193" t="inlineStr">
        <is>
          <t xml:space="preserve">Yes </t>
        </is>
      </c>
      <c r="AR193" t="inlineStr">
        <is>
          <t>Don’t know</t>
        </is>
      </c>
      <c r="AS193" t="inlineStr">
        <is>
          <t xml:space="preserve">Regular blood transfusions for life  Delayed growth and puberty Risk of diabetes, infertility, and hormonal issues </t>
        </is>
      </c>
      <c r="AT193" t="n">
        <v>1</v>
      </c>
      <c r="AU193" t="n">
        <v>0</v>
      </c>
      <c r="AV193" t="n">
        <v>1</v>
      </c>
      <c r="AW193" t="n">
        <v>1</v>
      </c>
      <c r="AX193" t="n">
        <v>0</v>
      </c>
      <c r="AY193" t="n">
        <v>0</v>
      </c>
      <c r="AZ193" t="n">
        <v>0</v>
      </c>
      <c r="BA193" t="n">
        <v>0</v>
      </c>
      <c r="BB193" t="inlineStr">
        <is>
          <t xml:space="preserve"> Get the partner tested before marriage   Get family members tested </t>
        </is>
      </c>
      <c r="BC193" t="n">
        <v>1</v>
      </c>
      <c r="BD193" t="n">
        <v>1</v>
      </c>
      <c r="BE193" t="n">
        <v>0</v>
      </c>
      <c r="BF193" t="n">
        <v>0</v>
      </c>
      <c r="BG193" t="inlineStr">
        <is>
          <t xml:space="preserve">School  </t>
        </is>
      </c>
      <c r="BH193" t="inlineStr">
        <is>
          <t>Definitely not</t>
        </is>
      </c>
      <c r="BI193" t="inlineStr">
        <is>
          <t>Not sure</t>
        </is>
      </c>
      <c r="BJ193" t="inlineStr">
        <is>
          <t xml:space="preserve">Important </t>
        </is>
      </c>
      <c r="BK193" t="inlineStr">
        <is>
          <t>Other</t>
        </is>
      </c>
      <c r="BL193" t="inlineStr">
        <is>
          <t>No partner yet</t>
        </is>
      </c>
      <c r="BP193" t="inlineStr">
        <is>
          <t xml:space="preserve">Agree </t>
        </is>
      </c>
      <c r="BQ193" t="inlineStr">
        <is>
          <t xml:space="preserve">Yes </t>
        </is>
      </c>
      <c r="BS193" t="inlineStr">
        <is>
          <t>Some</t>
        </is>
      </c>
      <c r="BT193" t="inlineStr">
        <is>
          <t>Some</t>
        </is>
      </c>
      <c r="BU193" t="inlineStr">
        <is>
          <t>Don't know</t>
        </is>
      </c>
      <c r="BV193" t="inlineStr">
        <is>
          <t>Lack of knowledge  Perception that screening was unnecessary</t>
        </is>
      </c>
      <c r="BW193" t="n">
        <v>1</v>
      </c>
      <c r="BX193" t="n">
        <v>0</v>
      </c>
      <c r="BY193" t="n">
        <v>0</v>
      </c>
      <c r="BZ193" t="n">
        <v>1</v>
      </c>
      <c r="CA193" t="n">
        <v>0</v>
      </c>
      <c r="CB193" t="n">
        <v>0</v>
      </c>
      <c r="CD193" t="inlineStr">
        <is>
          <t xml:space="preserve">Somewhat easy </t>
        </is>
      </c>
      <c r="CE193" t="inlineStr">
        <is>
          <t xml:space="preserve">Important </t>
        </is>
      </c>
      <c r="CF193" t="n">
        <v>679192330</v>
      </c>
      <c r="CG193" t="inlineStr">
        <is>
          <t>3f716b7f-d108-4c52-ad85-aebb5c835fbd</t>
        </is>
      </c>
      <c r="CH193" s="1" t="n">
        <v>46077.7002662037</v>
      </c>
      <c r="CK193" t="inlineStr">
        <is>
          <t>submitted_via_web</t>
        </is>
      </c>
      <c r="CM193" t="inlineStr">
        <is>
          <t>vteYUDpqfKnk39PHFZkvPS</t>
        </is>
      </c>
      <c r="CO193" t="inlineStr">
        <is>
          <t>uuid:3f716b7f-d108-4c52-ad85-aebb5c835fbd</t>
        </is>
      </c>
      <c r="CP193" t="n">
        <v>192</v>
      </c>
      <c r="CQ193" t="n">
        <v>5</v>
      </c>
      <c r="CR193" t="n">
        <v>0.4641035858837596</v>
      </c>
    </row>
    <row r="194">
      <c r="A194" s="1" t="n">
        <v>46077.92942959491</v>
      </c>
      <c r="B194" s="1" t="n">
        <v>46077.93357770833</v>
      </c>
      <c r="D194" t="inlineStr">
        <is>
          <t>29</t>
        </is>
      </c>
      <c r="E194" t="inlineStr">
        <is>
          <t xml:space="preserve">Male </t>
        </is>
      </c>
      <c r="F194" t="inlineStr">
        <is>
          <t>Sinhalese</t>
        </is>
      </c>
      <c r="H194" t="inlineStr">
        <is>
          <t>Buddhist</t>
        </is>
      </c>
      <c r="J194" t="inlineStr">
        <is>
          <t>Government sector</t>
        </is>
      </c>
      <c r="K194" t="inlineStr">
        <is>
          <t>&gt; 100,000</t>
        </is>
      </c>
      <c r="L194" t="inlineStr">
        <is>
          <t xml:space="preserve">Graduate </t>
        </is>
      </c>
      <c r="M194" t="inlineStr">
        <is>
          <t xml:space="preserve">North Central </t>
        </is>
      </c>
      <c r="N194" t="inlineStr">
        <is>
          <t xml:space="preserve">Married </t>
        </is>
      </c>
      <c r="O194" t="inlineStr">
        <is>
          <t>No children</t>
        </is>
      </c>
      <c r="P194" t="inlineStr">
        <is>
          <t xml:space="preserve"> Yes </t>
        </is>
      </c>
      <c r="Q194" t="inlineStr">
        <is>
          <t>Thalassemia</t>
        </is>
      </c>
      <c r="R194" s="1" t="n">
        <v>44981</v>
      </c>
      <c r="S194" t="inlineStr">
        <is>
          <t>During community screening</t>
        </is>
      </c>
      <c r="U194" t="inlineStr">
        <is>
          <t>Yes</t>
        </is>
      </c>
      <c r="V194" t="inlineStr">
        <is>
          <t>Thalassemia major (severe form)   Thalassemia minor or trait (carrier form)</t>
        </is>
      </c>
      <c r="W194" t="n">
        <v>1</v>
      </c>
      <c r="X194" t="n">
        <v>1</v>
      </c>
      <c r="Y194" t="n">
        <v>0</v>
      </c>
      <c r="Z194" t="n">
        <v>0</v>
      </c>
      <c r="AA194" t="inlineStr">
        <is>
          <t xml:space="preserve">Thalassemia major (severe form)  </t>
        </is>
      </c>
      <c r="AB194" t="n">
        <v>1</v>
      </c>
      <c r="AC194" t="n">
        <v>0</v>
      </c>
      <c r="AD194" t="n">
        <v>0</v>
      </c>
      <c r="AE194" t="n">
        <v>0</v>
      </c>
      <c r="AF194" t="inlineStr">
        <is>
          <t>Thalassemia minor or trait (carrier form)</t>
        </is>
      </c>
      <c r="AG194" t="n">
        <v>0</v>
      </c>
      <c r="AH194" t="n">
        <v>1</v>
      </c>
      <c r="AI194" t="n">
        <v>0</v>
      </c>
      <c r="AJ194" t="n">
        <v>0</v>
      </c>
      <c r="AK194" t="inlineStr">
        <is>
          <t>Yes</t>
        </is>
      </c>
      <c r="AL194" t="inlineStr">
        <is>
          <t xml:space="preserve">Cannot be cured   </t>
        </is>
      </c>
      <c r="AM194" t="inlineStr">
        <is>
          <t xml:space="preserve">Can be prevented </t>
        </is>
      </c>
      <c r="AN194" t="inlineStr">
        <is>
          <t xml:space="preserve">From generation to generation (hereditary)  </t>
        </is>
      </c>
      <c r="AO194" t="inlineStr">
        <is>
          <t xml:space="preserve">Not healthy  </t>
        </is>
      </c>
      <c r="AP194" t="inlineStr">
        <is>
          <t xml:space="preserve">Has a chance to be affected (e.g., 25%) </t>
        </is>
      </c>
      <c r="AQ194" t="inlineStr">
        <is>
          <t xml:space="preserve">Yes </t>
        </is>
      </c>
      <c r="AR194" t="inlineStr">
        <is>
          <t>Don’t know</t>
        </is>
      </c>
      <c r="AS194" t="inlineStr">
        <is>
          <t>Regular blood transfusions for life  Delayed growth and puberty Fatigue Bone deformities</t>
        </is>
      </c>
      <c r="AT194" t="n">
        <v>1</v>
      </c>
      <c r="AU194" t="n">
        <v>0</v>
      </c>
      <c r="AV194" t="n">
        <v>1</v>
      </c>
      <c r="AW194" t="n">
        <v>0</v>
      </c>
      <c r="AX194" t="n">
        <v>0</v>
      </c>
      <c r="AY194" t="n">
        <v>0</v>
      </c>
      <c r="AZ194" t="n">
        <v>1</v>
      </c>
      <c r="BA194" t="n">
        <v>1</v>
      </c>
      <c r="BB194" t="inlineStr">
        <is>
          <t xml:space="preserve"> Get the partner tested before marriage  </t>
        </is>
      </c>
      <c r="BC194" t="n">
        <v>1</v>
      </c>
      <c r="BD194" t="n">
        <v>0</v>
      </c>
      <c r="BE194" t="n">
        <v>0</v>
      </c>
      <c r="BF194" t="n">
        <v>0</v>
      </c>
      <c r="BG194" t="inlineStr">
        <is>
          <t xml:space="preserve">School  </t>
        </is>
      </c>
      <c r="BH194" t="inlineStr">
        <is>
          <t>Definitely not</t>
        </is>
      </c>
      <c r="BI194" t="inlineStr">
        <is>
          <t xml:space="preserve">No </t>
        </is>
      </c>
      <c r="BJ194" t="inlineStr">
        <is>
          <t xml:space="preserve">Very important </t>
        </is>
      </c>
      <c r="BK194" t="inlineStr">
        <is>
          <t>Partner was screened before marriage</t>
        </is>
      </c>
      <c r="BP194" t="inlineStr">
        <is>
          <t xml:space="preserve">Agree </t>
        </is>
      </c>
      <c r="BQ194" t="inlineStr">
        <is>
          <t xml:space="preserve">Yes </t>
        </is>
      </c>
      <c r="BS194" t="inlineStr">
        <is>
          <t>None</t>
        </is>
      </c>
      <c r="BT194" t="inlineStr">
        <is>
          <t>Don't know</t>
        </is>
      </c>
      <c r="BU194" t="inlineStr">
        <is>
          <t>Don't know</t>
        </is>
      </c>
      <c r="BV194" t="inlineStr">
        <is>
          <t>Cost or access issues</t>
        </is>
      </c>
      <c r="BW194" t="n">
        <v>0</v>
      </c>
      <c r="BX194" t="n">
        <v>0</v>
      </c>
      <c r="BY194" t="n">
        <v>0</v>
      </c>
      <c r="BZ194" t="n">
        <v>0</v>
      </c>
      <c r="CA194" t="n">
        <v>1</v>
      </c>
      <c r="CB194" t="n">
        <v>0</v>
      </c>
      <c r="CD194" t="inlineStr">
        <is>
          <t xml:space="preserve">Somewhat easy </t>
        </is>
      </c>
      <c r="CE194" t="inlineStr">
        <is>
          <t xml:space="preserve"> Very important</t>
        </is>
      </c>
      <c r="CF194" t="n">
        <v>679196203</v>
      </c>
      <c r="CG194" t="inlineStr">
        <is>
          <t>28fb0d09-9b4e-4f8e-8c8d-3a718c392f5c</t>
        </is>
      </c>
      <c r="CH194" s="1" t="n">
        <v>46077.70442129629</v>
      </c>
      <c r="CK194" t="inlineStr">
        <is>
          <t>submitted_via_web</t>
        </is>
      </c>
      <c r="CM194" t="inlineStr">
        <is>
          <t>vteYUDpqfKnk39PHFZkvPS</t>
        </is>
      </c>
      <c r="CO194" t="inlineStr">
        <is>
          <t>uuid:28fb0d09-9b4e-4f8e-8c8d-3a718c392f5c</t>
        </is>
      </c>
      <c r="CP194" t="n">
        <v>193</v>
      </c>
      <c r="CQ194" t="n">
        <v>6</v>
      </c>
      <c r="CR194" t="n">
        <v>0.8544166434680093</v>
      </c>
    </row>
    <row r="195">
      <c r="A195" s="1" t="n">
        <v>46077.93357880787</v>
      </c>
      <c r="B195" s="1" t="n">
        <v>46077.93786538194</v>
      </c>
      <c r="D195" t="inlineStr">
        <is>
          <t>36</t>
        </is>
      </c>
      <c r="E195" t="inlineStr">
        <is>
          <t>Female</t>
        </is>
      </c>
      <c r="F195" t="inlineStr">
        <is>
          <t>Sinhalese</t>
        </is>
      </c>
      <c r="H195" t="inlineStr">
        <is>
          <t>Buddhist</t>
        </is>
      </c>
      <c r="J195" t="inlineStr">
        <is>
          <t>Private sector</t>
        </is>
      </c>
      <c r="K195" t="inlineStr">
        <is>
          <t>&gt; 100,000</t>
        </is>
      </c>
      <c r="L195" t="inlineStr">
        <is>
          <t xml:space="preserve">Graduate </t>
        </is>
      </c>
      <c r="M195" t="inlineStr">
        <is>
          <t>Western</t>
        </is>
      </c>
      <c r="N195" t="inlineStr">
        <is>
          <t xml:space="preserve">Married </t>
        </is>
      </c>
      <c r="O195" t="inlineStr">
        <is>
          <t xml:space="preserve">Yes, only one child </t>
        </is>
      </c>
      <c r="P195" t="inlineStr">
        <is>
          <t xml:space="preserve"> I don’t know</t>
        </is>
      </c>
      <c r="R195" s="1" t="n">
        <v>43885</v>
      </c>
      <c r="S195" t="inlineStr">
        <is>
          <t>During community screening</t>
        </is>
      </c>
      <c r="U195" t="inlineStr">
        <is>
          <t>Yes</t>
        </is>
      </c>
      <c r="V195" t="inlineStr">
        <is>
          <t>Thalassemia major (severe form)   Thalassemia minor or trait (carrier form)</t>
        </is>
      </c>
      <c r="W195" t="n">
        <v>1</v>
      </c>
      <c r="X195" t="n">
        <v>1</v>
      </c>
      <c r="Y195" t="n">
        <v>0</v>
      </c>
      <c r="Z195" t="n">
        <v>0</v>
      </c>
      <c r="AA195" t="inlineStr">
        <is>
          <t xml:space="preserve">Thalassemia major (severe form)  </t>
        </is>
      </c>
      <c r="AB195" t="n">
        <v>1</v>
      </c>
      <c r="AC195" t="n">
        <v>0</v>
      </c>
      <c r="AD195" t="n">
        <v>0</v>
      </c>
      <c r="AE195" t="n">
        <v>0</v>
      </c>
      <c r="AF195" t="inlineStr">
        <is>
          <t>Thalassemia minor or trait (carrier form)</t>
        </is>
      </c>
      <c r="AG195" t="n">
        <v>0</v>
      </c>
      <c r="AH195" t="n">
        <v>1</v>
      </c>
      <c r="AI195" t="n">
        <v>0</v>
      </c>
      <c r="AJ195" t="n">
        <v>0</v>
      </c>
      <c r="AK195" t="inlineStr">
        <is>
          <t>Yes</t>
        </is>
      </c>
      <c r="AL195" t="inlineStr">
        <is>
          <t>Don’t know</t>
        </is>
      </c>
      <c r="AM195" t="inlineStr">
        <is>
          <t>Not sure</t>
        </is>
      </c>
      <c r="AN195" t="inlineStr">
        <is>
          <t xml:space="preserve">From generation to generation (hereditary)  </t>
        </is>
      </c>
      <c r="AO195" t="inlineStr">
        <is>
          <t>Healthy</t>
        </is>
      </c>
      <c r="AP195" t="inlineStr">
        <is>
          <t xml:space="preserve">Has a chance to be affected (e.g., 25%) </t>
        </is>
      </c>
      <c r="AQ195" t="inlineStr">
        <is>
          <t xml:space="preserve">Yes </t>
        </is>
      </c>
      <c r="AR195" t="inlineStr">
        <is>
          <t>Don’t know</t>
        </is>
      </c>
      <c r="AS195" t="inlineStr">
        <is>
          <t>Regular blood transfusions for life  Iron overload affecting heart and liver  Bone deformities</t>
        </is>
      </c>
      <c r="AT195" t="n">
        <v>1</v>
      </c>
      <c r="AU195" t="n">
        <v>1</v>
      </c>
      <c r="AV195" t="n">
        <v>0</v>
      </c>
      <c r="AW195" t="n">
        <v>0</v>
      </c>
      <c r="AX195" t="n">
        <v>0</v>
      </c>
      <c r="AY195" t="n">
        <v>0</v>
      </c>
      <c r="AZ195" t="n">
        <v>0</v>
      </c>
      <c r="BA195" t="n">
        <v>1</v>
      </c>
      <c r="BB195" t="inlineStr">
        <is>
          <t xml:space="preserve"> Get the partner tested before marriage   Get family members tested </t>
        </is>
      </c>
      <c r="BC195" t="n">
        <v>1</v>
      </c>
      <c r="BD195" t="n">
        <v>1</v>
      </c>
      <c r="BE195" t="n">
        <v>0</v>
      </c>
      <c r="BF195" t="n">
        <v>0</v>
      </c>
      <c r="BG195" t="inlineStr">
        <is>
          <t>Mass media (TV, newspapers, social media)</t>
        </is>
      </c>
      <c r="BH195" t="inlineStr">
        <is>
          <t>Definitely not</t>
        </is>
      </c>
      <c r="BI195" t="inlineStr">
        <is>
          <t xml:space="preserve">No </t>
        </is>
      </c>
      <c r="BJ195" t="inlineStr">
        <is>
          <t xml:space="preserve">Very important </t>
        </is>
      </c>
      <c r="BK195" t="inlineStr">
        <is>
          <t>Partner was screened before marriage</t>
        </is>
      </c>
      <c r="BP195" t="inlineStr">
        <is>
          <t xml:space="preserve">Agree </t>
        </is>
      </c>
      <c r="BQ195" t="inlineStr">
        <is>
          <t xml:space="preserve">Yes </t>
        </is>
      </c>
      <c r="BS195" t="inlineStr">
        <is>
          <t>All</t>
        </is>
      </c>
      <c r="BT195" t="inlineStr">
        <is>
          <t>None</t>
        </is>
      </c>
      <c r="BU195" t="inlineStr">
        <is>
          <t>None</t>
        </is>
      </c>
      <c r="BV195" t="inlineStr">
        <is>
          <t xml:space="preserve">Lack of knowledge </t>
        </is>
      </c>
      <c r="BW195" t="n">
        <v>1</v>
      </c>
      <c r="BX195" t="n">
        <v>0</v>
      </c>
      <c r="BY195" t="n">
        <v>0</v>
      </c>
      <c r="BZ195" t="n">
        <v>0</v>
      </c>
      <c r="CA195" t="n">
        <v>0</v>
      </c>
      <c r="CB195" t="n">
        <v>0</v>
      </c>
      <c r="CD195" t="inlineStr">
        <is>
          <t xml:space="preserve">Somewhat easy </t>
        </is>
      </c>
      <c r="CE195" t="inlineStr">
        <is>
          <t xml:space="preserve"> Very important</t>
        </is>
      </c>
      <c r="CF195" t="n">
        <v>679199565</v>
      </c>
      <c r="CG195" t="inlineStr">
        <is>
          <t>da210de8-13ab-4541-92e7-7259e6874a5f</t>
        </is>
      </c>
      <c r="CH195" s="1" t="n">
        <v>46077.70871527777</v>
      </c>
      <c r="CK195" t="inlineStr">
        <is>
          <t>submitted_via_web</t>
        </is>
      </c>
      <c r="CM195" t="inlineStr">
        <is>
          <t>vteYUDpqfKnk39PHFZkvPS</t>
        </is>
      </c>
      <c r="CO195" t="inlineStr">
        <is>
          <t>uuid:da210de8-13ab-4541-92e7-7259e6874a5f</t>
        </is>
      </c>
      <c r="CP195" t="n">
        <v>194</v>
      </c>
      <c r="CQ195" t="n">
        <v>5</v>
      </c>
      <c r="CR195" t="n">
        <v>0.4641035858837596</v>
      </c>
    </row>
    <row r="196">
      <c r="A196" s="1" t="n">
        <v>46077.93786645833</v>
      </c>
      <c r="B196" s="1" t="n">
        <v>46077.94176552083</v>
      </c>
      <c r="D196" t="inlineStr">
        <is>
          <t>31</t>
        </is>
      </c>
      <c r="E196" t="inlineStr">
        <is>
          <t xml:space="preserve">Male </t>
        </is>
      </c>
      <c r="F196" t="inlineStr">
        <is>
          <t>Sinhalese</t>
        </is>
      </c>
      <c r="H196" t="inlineStr">
        <is>
          <t>Buddhist</t>
        </is>
      </c>
      <c r="J196" t="inlineStr">
        <is>
          <t>Government sector</t>
        </is>
      </c>
      <c r="K196" t="inlineStr">
        <is>
          <t>51,000 – 100,000</t>
        </is>
      </c>
      <c r="L196" t="inlineStr">
        <is>
          <t xml:space="preserve">Up to A/L </t>
        </is>
      </c>
      <c r="M196" t="inlineStr">
        <is>
          <t>Western</t>
        </is>
      </c>
      <c r="N196" t="inlineStr">
        <is>
          <t xml:space="preserve">Married </t>
        </is>
      </c>
      <c r="O196" t="inlineStr">
        <is>
          <t>No children</t>
        </is>
      </c>
      <c r="P196" t="inlineStr">
        <is>
          <t xml:space="preserve"> I don’t know</t>
        </is>
      </c>
      <c r="R196" s="1" t="n">
        <v>44981</v>
      </c>
      <c r="S196" t="inlineStr">
        <is>
          <t>During community screening</t>
        </is>
      </c>
      <c r="U196" t="inlineStr">
        <is>
          <t>Yes</t>
        </is>
      </c>
      <c r="V196" t="inlineStr">
        <is>
          <t>Thalassemia major (severe form)   Thalassemia minor or trait (carrier form)</t>
        </is>
      </c>
      <c r="W196" t="n">
        <v>1</v>
      </c>
      <c r="X196" t="n">
        <v>1</v>
      </c>
      <c r="Y196" t="n">
        <v>0</v>
      </c>
      <c r="Z196" t="n">
        <v>0</v>
      </c>
      <c r="AA196" t="inlineStr">
        <is>
          <t xml:space="preserve">Thalassemia major (severe form)  </t>
        </is>
      </c>
      <c r="AB196" t="n">
        <v>1</v>
      </c>
      <c r="AC196" t="n">
        <v>0</v>
      </c>
      <c r="AD196" t="n">
        <v>0</v>
      </c>
      <c r="AE196" t="n">
        <v>0</v>
      </c>
      <c r="AF196" t="inlineStr">
        <is>
          <t>Thalassemia minor or trait (carrier form)</t>
        </is>
      </c>
      <c r="AG196" t="n">
        <v>0</v>
      </c>
      <c r="AH196" t="n">
        <v>1</v>
      </c>
      <c r="AI196" t="n">
        <v>0</v>
      </c>
      <c r="AJ196" t="n">
        <v>0</v>
      </c>
      <c r="AK196" t="inlineStr">
        <is>
          <t>Yes</t>
        </is>
      </c>
      <c r="AL196" t="inlineStr">
        <is>
          <t xml:space="preserve">Cannot be cured   </t>
        </is>
      </c>
      <c r="AM196" t="inlineStr">
        <is>
          <t xml:space="preserve">Can be prevented </t>
        </is>
      </c>
      <c r="AN196" t="inlineStr">
        <is>
          <t xml:space="preserve">From generation to generation (hereditary)  </t>
        </is>
      </c>
      <c r="AO196" t="inlineStr">
        <is>
          <t xml:space="preserve">Not healthy  </t>
        </is>
      </c>
      <c r="AP196" t="inlineStr">
        <is>
          <t xml:space="preserve">Has a chance to be affected (e.g., 25%) </t>
        </is>
      </c>
      <c r="AQ196" t="inlineStr">
        <is>
          <t xml:space="preserve">Yes </t>
        </is>
      </c>
      <c r="AR196" t="inlineStr">
        <is>
          <t>Don’t know</t>
        </is>
      </c>
      <c r="AS196" t="inlineStr">
        <is>
          <t>Regular blood transfusions for life  Delayed growth and puberty Risk of diabetes, infertility, and hormonal issues  Bone deformities</t>
        </is>
      </c>
      <c r="AT196" t="n">
        <v>1</v>
      </c>
      <c r="AU196" t="n">
        <v>0</v>
      </c>
      <c r="AV196" t="n">
        <v>1</v>
      </c>
      <c r="AW196" t="n">
        <v>1</v>
      </c>
      <c r="AX196" t="n">
        <v>0</v>
      </c>
      <c r="AY196" t="n">
        <v>0</v>
      </c>
      <c r="AZ196" t="n">
        <v>0</v>
      </c>
      <c r="BA196" t="n">
        <v>1</v>
      </c>
      <c r="BB196" t="inlineStr">
        <is>
          <t xml:space="preserve"> Get the partner tested before marriage   Get family members tested </t>
        </is>
      </c>
      <c r="BC196" t="n">
        <v>1</v>
      </c>
      <c r="BD196" t="n">
        <v>1</v>
      </c>
      <c r="BE196" t="n">
        <v>0</v>
      </c>
      <c r="BF196" t="n">
        <v>0</v>
      </c>
      <c r="BG196" t="inlineStr">
        <is>
          <t>Only found out after screening</t>
        </is>
      </c>
      <c r="BH196" t="inlineStr">
        <is>
          <t>Definitely not</t>
        </is>
      </c>
      <c r="BI196" t="inlineStr">
        <is>
          <t xml:space="preserve">Yes </t>
        </is>
      </c>
      <c r="BJ196" t="inlineStr">
        <is>
          <t xml:space="preserve">Not sure </t>
        </is>
      </c>
      <c r="BK196" t="inlineStr">
        <is>
          <t>Partner was screened before marriage</t>
        </is>
      </c>
      <c r="BP196" t="inlineStr">
        <is>
          <t xml:space="preserve">Agree </t>
        </is>
      </c>
      <c r="BQ196" t="inlineStr">
        <is>
          <t xml:space="preserve">Yes </t>
        </is>
      </c>
      <c r="BS196" t="inlineStr">
        <is>
          <t>None</t>
        </is>
      </c>
      <c r="BT196" t="inlineStr">
        <is>
          <t>None</t>
        </is>
      </c>
      <c r="BU196" t="inlineStr">
        <is>
          <t>None</t>
        </is>
      </c>
      <c r="BV196" t="inlineStr">
        <is>
          <t>Perception that screening was unnecessary</t>
        </is>
      </c>
      <c r="BW196" t="n">
        <v>0</v>
      </c>
      <c r="BX196" t="n">
        <v>0</v>
      </c>
      <c r="BY196" t="n">
        <v>0</v>
      </c>
      <c r="BZ196" t="n">
        <v>1</v>
      </c>
      <c r="CA196" t="n">
        <v>0</v>
      </c>
      <c r="CB196" t="n">
        <v>0</v>
      </c>
      <c r="CD196" t="inlineStr">
        <is>
          <t xml:space="preserve">Difficult </t>
        </is>
      </c>
      <c r="CE196" t="inlineStr">
        <is>
          <t xml:space="preserve">Slightly important </t>
        </is>
      </c>
      <c r="CF196" t="n">
        <v>679203184</v>
      </c>
      <c r="CG196" t="inlineStr">
        <is>
          <t>c931e12c-5042-47bc-89f3-1b7e26d0866a</t>
        </is>
      </c>
      <c r="CH196" s="1" t="n">
        <v>46077.71259259259</v>
      </c>
      <c r="CK196" t="inlineStr">
        <is>
          <t>submitted_via_web</t>
        </is>
      </c>
      <c r="CM196" t="inlineStr">
        <is>
          <t>vteYUDpqfKnk39PHFZkvPS</t>
        </is>
      </c>
      <c r="CO196" t="inlineStr">
        <is>
          <t>uuid:c931e12c-5042-47bc-89f3-1b7e26d0866a</t>
        </is>
      </c>
      <c r="CP196" t="n">
        <v>195</v>
      </c>
      <c r="CQ196" t="n">
        <v>6</v>
      </c>
      <c r="CR196" t="n">
        <v>0.8544166434680093</v>
      </c>
    </row>
    <row r="197">
      <c r="A197" s="1" t="n">
        <v>46077.94176621528</v>
      </c>
      <c r="B197" s="1" t="n">
        <v>46077.94483211805</v>
      </c>
      <c r="D197" t="inlineStr">
        <is>
          <t>36</t>
        </is>
      </c>
      <c r="E197" t="inlineStr">
        <is>
          <t xml:space="preserve">Male </t>
        </is>
      </c>
      <c r="F197" t="inlineStr">
        <is>
          <t>Tamil</t>
        </is>
      </c>
      <c r="H197" t="inlineStr">
        <is>
          <t>Hindu</t>
        </is>
      </c>
      <c r="J197" t="inlineStr">
        <is>
          <t>Self-employed</t>
        </is>
      </c>
      <c r="K197" t="inlineStr">
        <is>
          <t>25,000 – 50,000</t>
        </is>
      </c>
      <c r="L197" t="inlineStr">
        <is>
          <t xml:space="preserve">Up to O/L </t>
        </is>
      </c>
      <c r="M197" t="inlineStr">
        <is>
          <t xml:space="preserve">North Western </t>
        </is>
      </c>
      <c r="N197" t="inlineStr">
        <is>
          <t xml:space="preserve">Married </t>
        </is>
      </c>
      <c r="O197" t="inlineStr">
        <is>
          <t xml:space="preserve">Yes, only one child </t>
        </is>
      </c>
      <c r="P197" t="inlineStr">
        <is>
          <t>No</t>
        </is>
      </c>
      <c r="R197" s="1" t="n">
        <v>43885</v>
      </c>
      <c r="S197" t="inlineStr">
        <is>
          <t>During community screening</t>
        </is>
      </c>
      <c r="U197" t="inlineStr">
        <is>
          <t>Yes</t>
        </is>
      </c>
      <c r="V197" t="inlineStr">
        <is>
          <t>I don’t know</t>
        </is>
      </c>
      <c r="W197" t="n">
        <v>0</v>
      </c>
      <c r="X197" t="n">
        <v>0</v>
      </c>
      <c r="Y197" t="n">
        <v>0</v>
      </c>
      <c r="Z197" t="n">
        <v>1</v>
      </c>
      <c r="AA197" t="inlineStr">
        <is>
          <t>I don’t know</t>
        </is>
      </c>
      <c r="AB197" t="n">
        <v>0</v>
      </c>
      <c r="AC197" t="n">
        <v>0</v>
      </c>
      <c r="AD197" t="n">
        <v>0</v>
      </c>
      <c r="AE197" t="n">
        <v>1</v>
      </c>
      <c r="AF197" t="inlineStr">
        <is>
          <t>I don’t know</t>
        </is>
      </c>
      <c r="AG197" t="n">
        <v>0</v>
      </c>
      <c r="AH197" t="n">
        <v>0</v>
      </c>
      <c r="AI197" t="n">
        <v>0</v>
      </c>
      <c r="AJ197" t="n">
        <v>1</v>
      </c>
      <c r="AK197" t="inlineStr">
        <is>
          <t>Don’t know</t>
        </is>
      </c>
      <c r="AL197" t="inlineStr">
        <is>
          <t>Don’t know</t>
        </is>
      </c>
      <c r="AM197" t="inlineStr">
        <is>
          <t>Not sure</t>
        </is>
      </c>
      <c r="AN197" t="inlineStr">
        <is>
          <t xml:space="preserve">From generation to generation (hereditary)  </t>
        </is>
      </c>
      <c r="AO197" t="inlineStr">
        <is>
          <t>Don’t know</t>
        </is>
      </c>
      <c r="AP197" t="inlineStr">
        <is>
          <t>Don’t know</t>
        </is>
      </c>
      <c r="AQ197" t="inlineStr">
        <is>
          <t>No</t>
        </is>
      </c>
      <c r="AR197" t="inlineStr">
        <is>
          <t>Don’t know</t>
        </is>
      </c>
      <c r="BB197" t="inlineStr">
        <is>
          <t xml:space="preserve"> Get the partner tested before marriage   Get family members tested </t>
        </is>
      </c>
      <c r="BC197" t="n">
        <v>1</v>
      </c>
      <c r="BD197" t="n">
        <v>1</v>
      </c>
      <c r="BE197" t="n">
        <v>0</v>
      </c>
      <c r="BF197" t="n">
        <v>0</v>
      </c>
      <c r="BG197" t="inlineStr">
        <is>
          <t>Only found out after screening</t>
        </is>
      </c>
      <c r="BH197" t="inlineStr">
        <is>
          <t>Definitely not</t>
        </is>
      </c>
      <c r="BI197" t="inlineStr">
        <is>
          <t>Not sure</t>
        </is>
      </c>
      <c r="BJ197" t="inlineStr">
        <is>
          <t xml:space="preserve">Not sure </t>
        </is>
      </c>
      <c r="BK197" t="inlineStr">
        <is>
          <t xml:space="preserve">Did not screen partner </t>
        </is>
      </c>
      <c r="BP197" t="inlineStr">
        <is>
          <t xml:space="preserve">Agree </t>
        </is>
      </c>
      <c r="BQ197" t="inlineStr">
        <is>
          <t xml:space="preserve">Yes </t>
        </is>
      </c>
      <c r="BS197" t="inlineStr">
        <is>
          <t>None</t>
        </is>
      </c>
      <c r="BT197" t="inlineStr">
        <is>
          <t>None</t>
        </is>
      </c>
      <c r="BU197" t="inlineStr">
        <is>
          <t>None</t>
        </is>
      </c>
      <c r="BV197" t="inlineStr">
        <is>
          <t>Lack of knowledge  Perception that screening was unnecessary</t>
        </is>
      </c>
      <c r="BW197" t="n">
        <v>1</v>
      </c>
      <c r="BX197" t="n">
        <v>0</v>
      </c>
      <c r="BY197" t="n">
        <v>0</v>
      </c>
      <c r="BZ197" t="n">
        <v>1</v>
      </c>
      <c r="CA197" t="n">
        <v>0</v>
      </c>
      <c r="CB197" t="n">
        <v>0</v>
      </c>
      <c r="CD197" t="inlineStr">
        <is>
          <t>Not sure</t>
        </is>
      </c>
      <c r="CE197" t="inlineStr">
        <is>
          <t>Not important</t>
        </is>
      </c>
      <c r="CF197" t="n">
        <v>679206429</v>
      </c>
      <c r="CG197" t="inlineStr">
        <is>
          <t>719c3db5-557d-4b5e-b0e4-00a8dd7bdbe9</t>
        </is>
      </c>
      <c r="CH197" s="1" t="n">
        <v>46077.7156712963</v>
      </c>
      <c r="CK197" t="inlineStr">
        <is>
          <t>submitted_via_web</t>
        </is>
      </c>
      <c r="CM197" t="inlineStr">
        <is>
          <t>vteYUDpqfKnk39PHFZkvPS</t>
        </is>
      </c>
      <c r="CO197" t="inlineStr">
        <is>
          <t>uuid:719c3db5-557d-4b5e-b0e4-00a8dd7bdbe9</t>
        </is>
      </c>
      <c r="CP197" t="n">
        <v>196</v>
      </c>
      <c r="CQ197" t="n">
        <v>0</v>
      </c>
      <c r="CR197" t="n">
        <v>-1.487461702037489</v>
      </c>
    </row>
    <row r="198">
      <c r="A198" s="1" t="n">
        <v>46077.94483240741</v>
      </c>
      <c r="B198" s="1" t="n">
        <v>46077.95072510417</v>
      </c>
      <c r="D198" t="inlineStr">
        <is>
          <t>39</t>
        </is>
      </c>
      <c r="E198" t="inlineStr">
        <is>
          <t xml:space="preserve">Male </t>
        </is>
      </c>
      <c r="F198" t="inlineStr">
        <is>
          <t>Sinhalese</t>
        </is>
      </c>
      <c r="H198" t="inlineStr">
        <is>
          <t>Buddhist</t>
        </is>
      </c>
      <c r="J198" t="inlineStr">
        <is>
          <t>Private sector</t>
        </is>
      </c>
      <c r="K198" t="inlineStr">
        <is>
          <t>51,000 – 100,000</t>
        </is>
      </c>
      <c r="L198" t="inlineStr">
        <is>
          <t xml:space="preserve">Graduate </t>
        </is>
      </c>
      <c r="M198" t="inlineStr">
        <is>
          <t>Western</t>
        </is>
      </c>
      <c r="N198" t="inlineStr">
        <is>
          <t xml:space="preserve">Married </t>
        </is>
      </c>
      <c r="O198" t="inlineStr">
        <is>
          <t>No children</t>
        </is>
      </c>
      <c r="P198" t="inlineStr">
        <is>
          <t>No</t>
        </is>
      </c>
      <c r="R198" s="1" t="n">
        <v>44616</v>
      </c>
      <c r="S198" t="inlineStr">
        <is>
          <t>At workplace</t>
        </is>
      </c>
      <c r="U198" t="inlineStr">
        <is>
          <t>Yes</t>
        </is>
      </c>
      <c r="V198" t="inlineStr">
        <is>
          <t>Thalassemia major (severe form)   Thalassemia minor or trait (carrier form)</t>
        </is>
      </c>
      <c r="W198" t="n">
        <v>1</v>
      </c>
      <c r="X198" t="n">
        <v>1</v>
      </c>
      <c r="Y198" t="n">
        <v>0</v>
      </c>
      <c r="Z198" t="n">
        <v>0</v>
      </c>
      <c r="AA198" t="inlineStr">
        <is>
          <t>I don’t know</t>
        </is>
      </c>
      <c r="AB198" t="n">
        <v>0</v>
      </c>
      <c r="AC198" t="n">
        <v>0</v>
      </c>
      <c r="AD198" t="n">
        <v>0</v>
      </c>
      <c r="AE198" t="n">
        <v>1</v>
      </c>
      <c r="AF198" t="inlineStr">
        <is>
          <t>Thalassemia minor or trait (carrier form)</t>
        </is>
      </c>
      <c r="AG198" t="n">
        <v>0</v>
      </c>
      <c r="AH198" t="n">
        <v>1</v>
      </c>
      <c r="AI198" t="n">
        <v>0</v>
      </c>
      <c r="AJ198" t="n">
        <v>0</v>
      </c>
      <c r="AK198" t="inlineStr">
        <is>
          <t>Yes</t>
        </is>
      </c>
      <c r="AL198" t="inlineStr">
        <is>
          <t xml:space="preserve">Cannot be cured   </t>
        </is>
      </c>
      <c r="AM198" t="inlineStr">
        <is>
          <t xml:space="preserve">Can be prevented </t>
        </is>
      </c>
      <c r="AN198" t="inlineStr">
        <is>
          <t xml:space="preserve">From generation to generation (hereditary)  </t>
        </is>
      </c>
      <c r="AO198" t="inlineStr">
        <is>
          <t>Healthy</t>
        </is>
      </c>
      <c r="AP198" t="inlineStr">
        <is>
          <t>Don’t know</t>
        </is>
      </c>
      <c r="AQ198" t="inlineStr">
        <is>
          <t xml:space="preserve">Yes </t>
        </is>
      </c>
      <c r="AR198" t="inlineStr">
        <is>
          <t>Don’t know</t>
        </is>
      </c>
      <c r="AS198" t="inlineStr">
        <is>
          <t>Regular blood transfusions for life  Frequent nosebleeds Fatigue Bone deformities</t>
        </is>
      </c>
      <c r="AT198" t="n">
        <v>1</v>
      </c>
      <c r="AU198" t="n">
        <v>0</v>
      </c>
      <c r="AV198" t="n">
        <v>0</v>
      </c>
      <c r="AW198" t="n">
        <v>0</v>
      </c>
      <c r="AX198" t="n">
        <v>0</v>
      </c>
      <c r="AY198" t="n">
        <v>1</v>
      </c>
      <c r="AZ198" t="n">
        <v>1</v>
      </c>
      <c r="BA198" t="n">
        <v>1</v>
      </c>
      <c r="BB198" t="inlineStr">
        <is>
          <t xml:space="preserve"> Get the partner tested before marriage   Get family members tested </t>
        </is>
      </c>
      <c r="BC198" t="n">
        <v>1</v>
      </c>
      <c r="BD198" t="n">
        <v>1</v>
      </c>
      <c r="BE198" t="n">
        <v>0</v>
      </c>
      <c r="BF198" t="n">
        <v>0</v>
      </c>
      <c r="BG198" t="inlineStr">
        <is>
          <t>Mass media (TV, newspapers, social media)</t>
        </is>
      </c>
      <c r="BH198" t="inlineStr">
        <is>
          <t>Definitely not</t>
        </is>
      </c>
      <c r="BI198" t="inlineStr">
        <is>
          <t xml:space="preserve">No </t>
        </is>
      </c>
      <c r="BJ198" t="inlineStr">
        <is>
          <t xml:space="preserve">Important </t>
        </is>
      </c>
      <c r="BK198" t="inlineStr">
        <is>
          <t xml:space="preserve">Did not screen partner </t>
        </is>
      </c>
      <c r="BM198" t="inlineStr">
        <is>
          <t xml:space="preserve"> Fear of rejection</t>
        </is>
      </c>
      <c r="BP198" t="inlineStr">
        <is>
          <t xml:space="preserve">Agree </t>
        </is>
      </c>
      <c r="BQ198" t="inlineStr">
        <is>
          <t xml:space="preserve">Yes </t>
        </is>
      </c>
      <c r="BS198" t="inlineStr">
        <is>
          <t>None</t>
        </is>
      </c>
      <c r="BT198" t="inlineStr">
        <is>
          <t>Some</t>
        </is>
      </c>
      <c r="BU198" t="inlineStr">
        <is>
          <t>None</t>
        </is>
      </c>
      <c r="BV198" t="inlineStr">
        <is>
          <t>Lack of knowledge  Perception that screening was unnecessary Cost or access issues</t>
        </is>
      </c>
      <c r="BW198" t="n">
        <v>1</v>
      </c>
      <c r="BX198" t="n">
        <v>0</v>
      </c>
      <c r="BY198" t="n">
        <v>0</v>
      </c>
      <c r="BZ198" t="n">
        <v>1</v>
      </c>
      <c r="CA198" t="n">
        <v>1</v>
      </c>
      <c r="CB198" t="n">
        <v>0</v>
      </c>
      <c r="CD198" t="inlineStr">
        <is>
          <t xml:space="preserve">Somewhat easy </t>
        </is>
      </c>
      <c r="CE198" t="inlineStr">
        <is>
          <t xml:space="preserve"> Very important</t>
        </is>
      </c>
      <c r="CF198" t="n">
        <v>679211603</v>
      </c>
      <c r="CG198" t="inlineStr">
        <is>
          <t>ceec5c5f-765e-48da-8f48-4a9084f35504</t>
        </is>
      </c>
      <c r="CH198" s="1" t="n">
        <v>46077.72157407407</v>
      </c>
      <c r="CK198" t="inlineStr">
        <is>
          <t>submitted_via_web</t>
        </is>
      </c>
      <c r="CM198" t="inlineStr">
        <is>
          <t>vteYUDpqfKnk39PHFZkvPS</t>
        </is>
      </c>
      <c r="CO198" t="inlineStr">
        <is>
          <t>uuid:ceec5c5f-765e-48da-8f48-4a9084f35504</t>
        </is>
      </c>
      <c r="CP198" t="n">
        <v>197</v>
      </c>
      <c r="CQ198" t="n">
        <v>6</v>
      </c>
      <c r="CR198" t="n">
        <v>0.8544166434680093</v>
      </c>
    </row>
    <row r="199">
      <c r="A199" s="1" t="n">
        <v>46077.95072644676</v>
      </c>
      <c r="B199" s="1" t="n">
        <v>46077.95488822916</v>
      </c>
      <c r="D199" t="inlineStr">
        <is>
          <t>35</t>
        </is>
      </c>
      <c r="E199" t="inlineStr">
        <is>
          <t xml:space="preserve">Male </t>
        </is>
      </c>
      <c r="F199" t="inlineStr">
        <is>
          <t>Sinhalese</t>
        </is>
      </c>
      <c r="H199" t="inlineStr">
        <is>
          <t>Buddhist</t>
        </is>
      </c>
      <c r="J199" t="inlineStr">
        <is>
          <t>Government sector</t>
        </is>
      </c>
      <c r="K199" t="inlineStr">
        <is>
          <t>&gt; 100,000</t>
        </is>
      </c>
      <c r="L199" t="inlineStr">
        <is>
          <t xml:space="preserve">Graduate </t>
        </is>
      </c>
      <c r="M199" t="inlineStr">
        <is>
          <t xml:space="preserve">North Western </t>
        </is>
      </c>
      <c r="N199" t="inlineStr">
        <is>
          <t xml:space="preserve">Married </t>
        </is>
      </c>
      <c r="O199" t="inlineStr">
        <is>
          <t xml:space="preserve">Yes, only one child </t>
        </is>
      </c>
      <c r="P199" t="inlineStr">
        <is>
          <t>No</t>
        </is>
      </c>
      <c r="R199" s="1" t="n">
        <v>43885</v>
      </c>
      <c r="S199" t="inlineStr">
        <is>
          <t>During community screening</t>
        </is>
      </c>
      <c r="U199" t="inlineStr">
        <is>
          <t>Yes</t>
        </is>
      </c>
      <c r="V199" t="inlineStr">
        <is>
          <t>Thalassemia major (severe form)   Thalassemia minor or trait (carrier form)</t>
        </is>
      </c>
      <c r="W199" t="n">
        <v>1</v>
      </c>
      <c r="X199" t="n">
        <v>1</v>
      </c>
      <c r="Y199" t="n">
        <v>0</v>
      </c>
      <c r="Z199" t="n">
        <v>0</v>
      </c>
      <c r="AA199" t="inlineStr">
        <is>
          <t xml:space="preserve">Thalassemia major (severe form)  </t>
        </is>
      </c>
      <c r="AB199" t="n">
        <v>1</v>
      </c>
      <c r="AC199" t="n">
        <v>0</v>
      </c>
      <c r="AD199" t="n">
        <v>0</v>
      </c>
      <c r="AE199" t="n">
        <v>0</v>
      </c>
      <c r="AF199" t="inlineStr">
        <is>
          <t>Thalassemia minor or trait (carrier form)</t>
        </is>
      </c>
      <c r="AG199" t="n">
        <v>0</v>
      </c>
      <c r="AH199" t="n">
        <v>1</v>
      </c>
      <c r="AI199" t="n">
        <v>0</v>
      </c>
      <c r="AJ199" t="n">
        <v>0</v>
      </c>
      <c r="AK199" t="inlineStr">
        <is>
          <t>Yes</t>
        </is>
      </c>
      <c r="AL199" t="inlineStr">
        <is>
          <t>Very difficult (e.g., bone marrow transplant)</t>
        </is>
      </c>
      <c r="AM199" t="inlineStr">
        <is>
          <t xml:space="preserve">Can be prevented </t>
        </is>
      </c>
      <c r="AN199" t="inlineStr">
        <is>
          <t xml:space="preserve">From generation to generation (hereditary)  </t>
        </is>
      </c>
      <c r="AO199" t="inlineStr">
        <is>
          <t>Healthy</t>
        </is>
      </c>
      <c r="AP199" t="inlineStr">
        <is>
          <t xml:space="preserve">Has a chance to be affected (e.g., 25%) </t>
        </is>
      </c>
      <c r="AQ199" t="inlineStr">
        <is>
          <t xml:space="preserve">Yes </t>
        </is>
      </c>
      <c r="AR199" t="inlineStr">
        <is>
          <t xml:space="preserve">40–100  </t>
        </is>
      </c>
      <c r="AS199" t="inlineStr">
        <is>
          <t>Regular blood transfusions for life  Iron overload affecting heart and liver  Delayed growth and puberty Risk of infections from transfusions Frequent nosebleeds Fatigue Bone deformities</t>
        </is>
      </c>
      <c r="AT199" t="n">
        <v>1</v>
      </c>
      <c r="AU199" t="n">
        <v>1</v>
      </c>
      <c r="AV199" t="n">
        <v>1</v>
      </c>
      <c r="AW199" t="n">
        <v>0</v>
      </c>
      <c r="AX199" t="n">
        <v>1</v>
      </c>
      <c r="AY199" t="n">
        <v>1</v>
      </c>
      <c r="AZ199" t="n">
        <v>1</v>
      </c>
      <c r="BA199" t="n">
        <v>1</v>
      </c>
      <c r="BB199" t="inlineStr">
        <is>
          <t xml:space="preserve"> Get the partner tested before marriage   Get family members tested </t>
        </is>
      </c>
      <c r="BC199" t="n">
        <v>1</v>
      </c>
      <c r="BD199" t="n">
        <v>1</v>
      </c>
      <c r="BE199" t="n">
        <v>0</v>
      </c>
      <c r="BF199" t="n">
        <v>0</v>
      </c>
      <c r="BG199" t="inlineStr">
        <is>
          <t xml:space="preserve">School  </t>
        </is>
      </c>
      <c r="BH199" t="inlineStr">
        <is>
          <t>Definitely not</t>
        </is>
      </c>
      <c r="BI199" t="inlineStr">
        <is>
          <t xml:space="preserve">No </t>
        </is>
      </c>
      <c r="BJ199" t="inlineStr">
        <is>
          <t xml:space="preserve">Very important </t>
        </is>
      </c>
      <c r="BK199" t="inlineStr">
        <is>
          <t xml:space="preserve">Did not screen partner </t>
        </is>
      </c>
      <c r="BP199" t="inlineStr">
        <is>
          <t xml:space="preserve">Agree </t>
        </is>
      </c>
      <c r="BQ199" t="inlineStr">
        <is>
          <t xml:space="preserve">Yes </t>
        </is>
      </c>
      <c r="BS199" t="inlineStr">
        <is>
          <t>None</t>
        </is>
      </c>
      <c r="BT199" t="inlineStr">
        <is>
          <t>None</t>
        </is>
      </c>
      <c r="BU199" t="inlineStr">
        <is>
          <t>None</t>
        </is>
      </c>
      <c r="BV199" t="inlineStr">
        <is>
          <t xml:space="preserve">Lack of knowledge </t>
        </is>
      </c>
      <c r="BW199" t="n">
        <v>1</v>
      </c>
      <c r="BX199" t="n">
        <v>0</v>
      </c>
      <c r="BY199" t="n">
        <v>0</v>
      </c>
      <c r="BZ199" t="n">
        <v>0</v>
      </c>
      <c r="CA199" t="n">
        <v>0</v>
      </c>
      <c r="CB199" t="n">
        <v>0</v>
      </c>
      <c r="CD199" t="inlineStr">
        <is>
          <t xml:space="preserve">Somewhat easy </t>
        </is>
      </c>
      <c r="CE199" t="inlineStr">
        <is>
          <t xml:space="preserve">Important </t>
        </is>
      </c>
      <c r="CF199" t="n">
        <v>679215481</v>
      </c>
      <c r="CG199" t="inlineStr">
        <is>
          <t>62c4d6bc-cbb8-41c6-a62e-f334bee56096</t>
        </is>
      </c>
      <c r="CH199" s="1" t="n">
        <v>46077.72571759259</v>
      </c>
      <c r="CK199" t="inlineStr">
        <is>
          <t>submitted_via_web</t>
        </is>
      </c>
      <c r="CM199" t="inlineStr">
        <is>
          <t>vteYUDpqfKnk39PHFZkvPS</t>
        </is>
      </c>
      <c r="CO199" t="inlineStr">
        <is>
          <t>uuid:62c4d6bc-cbb8-41c6-a62e-f334bee56096</t>
        </is>
      </c>
      <c r="CP199" t="n">
        <v>198</v>
      </c>
      <c r="CQ199" t="n">
        <v>9</v>
      </c>
      <c r="CR199" t="n">
        <v>2.025355816220758</v>
      </c>
    </row>
    <row r="200">
      <c r="A200" s="1" t="n">
        <v>46077.95488893519</v>
      </c>
      <c r="B200" s="1" t="n">
        <v>46077.95821956018</v>
      </c>
      <c r="D200" t="inlineStr">
        <is>
          <t>26</t>
        </is>
      </c>
      <c r="E200" t="inlineStr">
        <is>
          <t xml:space="preserve">Male </t>
        </is>
      </c>
      <c r="F200" t="inlineStr">
        <is>
          <t>Sinhalese</t>
        </is>
      </c>
      <c r="H200" t="inlineStr">
        <is>
          <t>Buddhist</t>
        </is>
      </c>
      <c r="J200" t="inlineStr">
        <is>
          <t>Government sector</t>
        </is>
      </c>
      <c r="K200" t="inlineStr">
        <is>
          <t>51,000 – 100,000</t>
        </is>
      </c>
      <c r="L200" t="inlineStr">
        <is>
          <t xml:space="preserve">Up to A/L </t>
        </is>
      </c>
      <c r="M200" t="inlineStr">
        <is>
          <t>Uva</t>
        </is>
      </c>
      <c r="N200" t="inlineStr">
        <is>
          <t>Single</t>
        </is>
      </c>
      <c r="P200" t="inlineStr">
        <is>
          <t>No</t>
        </is>
      </c>
      <c r="R200" s="1" t="n">
        <v>44981</v>
      </c>
      <c r="S200" t="inlineStr">
        <is>
          <t xml:space="preserve">During school/university  </t>
        </is>
      </c>
      <c r="U200" t="inlineStr">
        <is>
          <t>Yes</t>
        </is>
      </c>
      <c r="V200" t="inlineStr">
        <is>
          <t>Thalassemia major (severe form)   Thalassemia minor or trait (carrier form)</t>
        </is>
      </c>
      <c r="W200" t="n">
        <v>1</v>
      </c>
      <c r="X200" t="n">
        <v>1</v>
      </c>
      <c r="Y200" t="n">
        <v>0</v>
      </c>
      <c r="Z200" t="n">
        <v>0</v>
      </c>
      <c r="AA200" t="inlineStr">
        <is>
          <t xml:space="preserve">Thalassemia major (severe form)  </t>
        </is>
      </c>
      <c r="AB200" t="n">
        <v>1</v>
      </c>
      <c r="AC200" t="n">
        <v>0</v>
      </c>
      <c r="AD200" t="n">
        <v>0</v>
      </c>
      <c r="AE200" t="n">
        <v>0</v>
      </c>
      <c r="AF200" t="inlineStr">
        <is>
          <t>Thalassemia minor or trait (carrier form)</t>
        </is>
      </c>
      <c r="AG200" t="n">
        <v>0</v>
      </c>
      <c r="AH200" t="n">
        <v>1</v>
      </c>
      <c r="AI200" t="n">
        <v>0</v>
      </c>
      <c r="AJ200" t="n">
        <v>0</v>
      </c>
      <c r="AK200" t="inlineStr">
        <is>
          <t>Yes</t>
        </is>
      </c>
      <c r="AL200" t="inlineStr">
        <is>
          <t xml:space="preserve">Cannot be cured   </t>
        </is>
      </c>
      <c r="AM200" t="inlineStr">
        <is>
          <t xml:space="preserve">Can be prevented </t>
        </is>
      </c>
      <c r="AN200" t="inlineStr">
        <is>
          <t xml:space="preserve">From generation to generation (hereditary)  </t>
        </is>
      </c>
      <c r="AO200" t="inlineStr">
        <is>
          <t xml:space="preserve">Not healthy  </t>
        </is>
      </c>
      <c r="AP200" t="inlineStr">
        <is>
          <t>Always affected by thalassemia</t>
        </is>
      </c>
      <c r="AQ200" t="inlineStr">
        <is>
          <t xml:space="preserve">Yes </t>
        </is>
      </c>
      <c r="AR200" t="inlineStr">
        <is>
          <t xml:space="preserve">40–100  </t>
        </is>
      </c>
      <c r="AS200" t="inlineStr">
        <is>
          <t>Regular blood transfusions for life  Iron overload affecting heart and liver  Bone deformities</t>
        </is>
      </c>
      <c r="AT200" t="n">
        <v>1</v>
      </c>
      <c r="AU200" t="n">
        <v>1</v>
      </c>
      <c r="AV200" t="n">
        <v>0</v>
      </c>
      <c r="AW200" t="n">
        <v>0</v>
      </c>
      <c r="AX200" t="n">
        <v>0</v>
      </c>
      <c r="AY200" t="n">
        <v>0</v>
      </c>
      <c r="AZ200" t="n">
        <v>0</v>
      </c>
      <c r="BA200" t="n">
        <v>1</v>
      </c>
      <c r="BB200" t="inlineStr">
        <is>
          <t>I don’t know</t>
        </is>
      </c>
      <c r="BC200" t="n">
        <v>0</v>
      </c>
      <c r="BD200" t="n">
        <v>0</v>
      </c>
      <c r="BE200" t="n">
        <v>0</v>
      </c>
      <c r="BF200" t="n">
        <v>1</v>
      </c>
      <c r="BG200" t="inlineStr">
        <is>
          <t>Only found out after screening</t>
        </is>
      </c>
      <c r="BH200" t="inlineStr">
        <is>
          <t>Definitely not</t>
        </is>
      </c>
      <c r="BI200" t="inlineStr">
        <is>
          <t xml:space="preserve">No </t>
        </is>
      </c>
      <c r="BJ200" t="inlineStr">
        <is>
          <t xml:space="preserve">Very important </t>
        </is>
      </c>
      <c r="BP200" t="inlineStr">
        <is>
          <t xml:space="preserve">Agree </t>
        </is>
      </c>
      <c r="BQ200" t="inlineStr">
        <is>
          <t xml:space="preserve">Yes </t>
        </is>
      </c>
      <c r="BS200" t="inlineStr">
        <is>
          <t>None</t>
        </is>
      </c>
      <c r="BT200" t="inlineStr">
        <is>
          <t>None</t>
        </is>
      </c>
      <c r="BU200" t="inlineStr">
        <is>
          <t>None</t>
        </is>
      </c>
      <c r="BV200" t="inlineStr">
        <is>
          <t>Lack of knowledge  Perception that screening was unnecessary Cost or access issues</t>
        </is>
      </c>
      <c r="BW200" t="n">
        <v>1</v>
      </c>
      <c r="BX200" t="n">
        <v>0</v>
      </c>
      <c r="BY200" t="n">
        <v>0</v>
      </c>
      <c r="BZ200" t="n">
        <v>1</v>
      </c>
      <c r="CA200" t="n">
        <v>1</v>
      </c>
      <c r="CB200" t="n">
        <v>0</v>
      </c>
      <c r="CD200" t="inlineStr">
        <is>
          <t xml:space="preserve">Somewhat easy </t>
        </is>
      </c>
      <c r="CE200" t="inlineStr">
        <is>
          <t xml:space="preserve">Important </t>
        </is>
      </c>
      <c r="CF200" t="n">
        <v>679218247</v>
      </c>
      <c r="CG200" t="inlineStr">
        <is>
          <t>de55a200-a125-4cf7-845c-c78a7505a8c2</t>
        </is>
      </c>
      <c r="CH200" s="1" t="n">
        <v>46077.72909722223</v>
      </c>
      <c r="CK200" t="inlineStr">
        <is>
          <t>submitted_via_web</t>
        </is>
      </c>
      <c r="CM200" t="inlineStr">
        <is>
          <t>vteYUDpqfKnk39PHFZkvPS</t>
        </is>
      </c>
      <c r="CO200" t="inlineStr">
        <is>
          <t>uuid:de55a200-a125-4cf7-845c-c78a7505a8c2</t>
        </is>
      </c>
      <c r="CP200" t="n">
        <v>199</v>
      </c>
      <c r="CQ200" t="n">
        <v>5</v>
      </c>
      <c r="CR200" t="n">
        <v>0.4641035858837596</v>
      </c>
    </row>
    <row r="201">
      <c r="A201" s="1" t="n">
        <v>46077.95822008102</v>
      </c>
      <c r="B201" s="1" t="n">
        <v>46077.96143994213</v>
      </c>
      <c r="D201" t="inlineStr">
        <is>
          <t>20</t>
        </is>
      </c>
      <c r="E201" t="inlineStr">
        <is>
          <t xml:space="preserve">Male </t>
        </is>
      </c>
      <c r="F201" t="inlineStr">
        <is>
          <t>Sinhalese</t>
        </is>
      </c>
      <c r="H201" t="inlineStr">
        <is>
          <t>Buddhist</t>
        </is>
      </c>
      <c r="J201" t="inlineStr">
        <is>
          <t>Not employed</t>
        </is>
      </c>
      <c r="L201" t="inlineStr">
        <is>
          <t xml:space="preserve">Up to A/L </t>
        </is>
      </c>
      <c r="M201" t="inlineStr">
        <is>
          <t>Western</t>
        </is>
      </c>
      <c r="N201" t="inlineStr">
        <is>
          <t>Single</t>
        </is>
      </c>
      <c r="P201" t="inlineStr">
        <is>
          <t>No</t>
        </is>
      </c>
      <c r="R201" s="1" t="n">
        <v>44981</v>
      </c>
      <c r="S201" t="inlineStr">
        <is>
          <t>During community screening</t>
        </is>
      </c>
      <c r="U201" t="inlineStr">
        <is>
          <t>Yes</t>
        </is>
      </c>
      <c r="V201" t="inlineStr">
        <is>
          <t>Thalassemia major (severe form)   Thalassemia minor or trait (carrier form)</t>
        </is>
      </c>
      <c r="W201" t="n">
        <v>1</v>
      </c>
      <c r="X201" t="n">
        <v>1</v>
      </c>
      <c r="Y201" t="n">
        <v>0</v>
      </c>
      <c r="Z201" t="n">
        <v>0</v>
      </c>
      <c r="AA201" t="inlineStr">
        <is>
          <t xml:space="preserve">Thalassemia major (severe form)  </t>
        </is>
      </c>
      <c r="AB201" t="n">
        <v>1</v>
      </c>
      <c r="AC201" t="n">
        <v>0</v>
      </c>
      <c r="AD201" t="n">
        <v>0</v>
      </c>
      <c r="AE201" t="n">
        <v>0</v>
      </c>
      <c r="AF201" t="inlineStr">
        <is>
          <t>Thalassemia minor or trait (carrier form)</t>
        </is>
      </c>
      <c r="AG201" t="n">
        <v>0</v>
      </c>
      <c r="AH201" t="n">
        <v>1</v>
      </c>
      <c r="AI201" t="n">
        <v>0</v>
      </c>
      <c r="AJ201" t="n">
        <v>0</v>
      </c>
      <c r="AK201" t="inlineStr">
        <is>
          <t>Yes</t>
        </is>
      </c>
      <c r="AL201" t="inlineStr">
        <is>
          <t>Very difficult (e.g., bone marrow transplant)</t>
        </is>
      </c>
      <c r="AM201" t="inlineStr">
        <is>
          <t xml:space="preserve">Can be prevented </t>
        </is>
      </c>
      <c r="AN201" t="inlineStr">
        <is>
          <t xml:space="preserve">From generation to generation (hereditary)  </t>
        </is>
      </c>
      <c r="AO201" t="inlineStr">
        <is>
          <t xml:space="preserve">Not healthy  </t>
        </is>
      </c>
      <c r="AP201" t="inlineStr">
        <is>
          <t xml:space="preserve">Always healthy  </t>
        </is>
      </c>
      <c r="AQ201" t="inlineStr">
        <is>
          <t xml:space="preserve">Yes </t>
        </is>
      </c>
      <c r="AR201" t="inlineStr">
        <is>
          <t xml:space="preserve">40–100  </t>
        </is>
      </c>
      <c r="AS201" t="inlineStr">
        <is>
          <t>Regular blood transfusions for life  Delayed growth and puberty Risk of diabetes, infertility, and hormonal issues  Fatigue Bone deformities</t>
        </is>
      </c>
      <c r="AT201" t="n">
        <v>1</v>
      </c>
      <c r="AU201" t="n">
        <v>0</v>
      </c>
      <c r="AV201" t="n">
        <v>1</v>
      </c>
      <c r="AW201" t="n">
        <v>1</v>
      </c>
      <c r="AX201" t="n">
        <v>0</v>
      </c>
      <c r="AY201" t="n">
        <v>0</v>
      </c>
      <c r="AZ201" t="n">
        <v>1</v>
      </c>
      <c r="BA201" t="n">
        <v>1</v>
      </c>
      <c r="BB201" t="inlineStr">
        <is>
          <t xml:space="preserve"> Get the partner tested before marriage   Get family members tested </t>
        </is>
      </c>
      <c r="BC201" t="n">
        <v>1</v>
      </c>
      <c r="BD201" t="n">
        <v>1</v>
      </c>
      <c r="BE201" t="n">
        <v>0</v>
      </c>
      <c r="BF201" t="n">
        <v>0</v>
      </c>
      <c r="BG201" t="inlineStr">
        <is>
          <t xml:space="preserve">School  </t>
        </is>
      </c>
      <c r="BH201" t="inlineStr">
        <is>
          <t>Definitely not</t>
        </is>
      </c>
      <c r="BI201" t="inlineStr">
        <is>
          <t xml:space="preserve">No </t>
        </is>
      </c>
      <c r="BJ201" t="inlineStr">
        <is>
          <t xml:space="preserve">Important </t>
        </is>
      </c>
      <c r="BP201" t="inlineStr">
        <is>
          <t xml:space="preserve">Agree </t>
        </is>
      </c>
      <c r="BQ201" t="inlineStr">
        <is>
          <t xml:space="preserve">Yes </t>
        </is>
      </c>
      <c r="BS201" t="inlineStr">
        <is>
          <t>All</t>
        </is>
      </c>
      <c r="BT201" t="inlineStr">
        <is>
          <t>Some</t>
        </is>
      </c>
      <c r="BU201" t="inlineStr">
        <is>
          <t>None</t>
        </is>
      </c>
      <c r="BV201" t="inlineStr">
        <is>
          <t xml:space="preserve">Lack of knowledge </t>
        </is>
      </c>
      <c r="BW201" t="n">
        <v>1</v>
      </c>
      <c r="BX201" t="n">
        <v>0</v>
      </c>
      <c r="BY201" t="n">
        <v>0</v>
      </c>
      <c r="BZ201" t="n">
        <v>0</v>
      </c>
      <c r="CA201" t="n">
        <v>0</v>
      </c>
      <c r="CB201" t="n">
        <v>0</v>
      </c>
      <c r="CD201" t="inlineStr">
        <is>
          <t xml:space="preserve">Somewhat easy </t>
        </is>
      </c>
      <c r="CE201" t="inlineStr">
        <is>
          <t xml:space="preserve"> Very important</t>
        </is>
      </c>
      <c r="CF201" t="n">
        <v>679220754</v>
      </c>
      <c r="CG201" t="inlineStr">
        <is>
          <t>d3c63222-56a8-436d-80b7-af8ed2f6b703</t>
        </is>
      </c>
      <c r="CH201" s="1" t="n">
        <v>46077.73228009259</v>
      </c>
      <c r="CK201" t="inlineStr">
        <is>
          <t>submitted_via_web</t>
        </is>
      </c>
      <c r="CM201" t="inlineStr">
        <is>
          <t>vteYUDpqfKnk39PHFZkvPS</t>
        </is>
      </c>
      <c r="CO201" t="inlineStr">
        <is>
          <t>uuid:d3c63222-56a8-436d-80b7-af8ed2f6b703</t>
        </is>
      </c>
      <c r="CP201" t="n">
        <v>200</v>
      </c>
      <c r="CQ201" t="n">
        <v>7</v>
      </c>
      <c r="CR201" t="n">
        <v>1.244729701052259</v>
      </c>
    </row>
    <row r="202">
      <c r="A202" s="1" t="n">
        <v>46077.96144057871</v>
      </c>
      <c r="B202" s="1" t="n">
        <v>46077.96484925926</v>
      </c>
      <c r="D202" t="inlineStr">
        <is>
          <t>24</t>
        </is>
      </c>
      <c r="E202" t="inlineStr">
        <is>
          <t xml:space="preserve">Male </t>
        </is>
      </c>
      <c r="F202" t="inlineStr">
        <is>
          <t>Sinhalese</t>
        </is>
      </c>
      <c r="H202" t="inlineStr">
        <is>
          <t>Buddhist</t>
        </is>
      </c>
      <c r="J202" t="inlineStr">
        <is>
          <t>Government sector</t>
        </is>
      </c>
      <c r="K202" t="inlineStr">
        <is>
          <t>51,000 – 100,000</t>
        </is>
      </c>
      <c r="L202" t="inlineStr">
        <is>
          <t xml:space="preserve">Up to A/L </t>
        </is>
      </c>
      <c r="M202" t="inlineStr">
        <is>
          <t xml:space="preserve">Sabaragamuwa </t>
        </is>
      </c>
      <c r="N202" t="inlineStr">
        <is>
          <t>Single</t>
        </is>
      </c>
      <c r="P202" t="inlineStr">
        <is>
          <t>No</t>
        </is>
      </c>
      <c r="R202" s="1" t="n">
        <v>45346</v>
      </c>
      <c r="S202" t="inlineStr">
        <is>
          <t xml:space="preserve">During school/university  </t>
        </is>
      </c>
      <c r="U202" t="inlineStr">
        <is>
          <t>Yes</t>
        </is>
      </c>
      <c r="V202" t="inlineStr">
        <is>
          <t>Thalassemia major (severe form)   Thalassemia minor or trait (carrier form)</t>
        </is>
      </c>
      <c r="W202" t="n">
        <v>1</v>
      </c>
      <c r="X202" t="n">
        <v>1</v>
      </c>
      <c r="Y202" t="n">
        <v>0</v>
      </c>
      <c r="Z202" t="n">
        <v>0</v>
      </c>
      <c r="AA202" t="inlineStr">
        <is>
          <t xml:space="preserve">Thalassemia major (severe form)  </t>
        </is>
      </c>
      <c r="AB202" t="n">
        <v>1</v>
      </c>
      <c r="AC202" t="n">
        <v>0</v>
      </c>
      <c r="AD202" t="n">
        <v>0</v>
      </c>
      <c r="AE202" t="n">
        <v>0</v>
      </c>
      <c r="AF202" t="inlineStr">
        <is>
          <t>Thalassemia minor or trait (carrier form)</t>
        </is>
      </c>
      <c r="AG202" t="n">
        <v>0</v>
      </c>
      <c r="AH202" t="n">
        <v>1</v>
      </c>
      <c r="AI202" t="n">
        <v>0</v>
      </c>
      <c r="AJ202" t="n">
        <v>0</v>
      </c>
      <c r="AK202" t="inlineStr">
        <is>
          <t>Yes</t>
        </is>
      </c>
      <c r="AL202" t="inlineStr">
        <is>
          <t xml:space="preserve">Cannot be cured   </t>
        </is>
      </c>
      <c r="AM202" t="inlineStr">
        <is>
          <t>Not sure</t>
        </is>
      </c>
      <c r="AN202" t="inlineStr">
        <is>
          <t xml:space="preserve">From generation to generation (hereditary)  </t>
        </is>
      </c>
      <c r="AO202" t="inlineStr">
        <is>
          <t>Healthy</t>
        </is>
      </c>
      <c r="AP202" t="inlineStr">
        <is>
          <t xml:space="preserve">Has a chance to be affected (e.g., 25%) </t>
        </is>
      </c>
      <c r="AQ202" t="inlineStr">
        <is>
          <t xml:space="preserve">Yes </t>
        </is>
      </c>
      <c r="AR202" t="inlineStr">
        <is>
          <t>Don’t know</t>
        </is>
      </c>
      <c r="AS202" t="inlineStr">
        <is>
          <t xml:space="preserve">Regular blood transfusions for life </t>
        </is>
      </c>
      <c r="AT202" t="n">
        <v>1</v>
      </c>
      <c r="AU202" t="n">
        <v>0</v>
      </c>
      <c r="AV202" t="n">
        <v>0</v>
      </c>
      <c r="AW202" t="n">
        <v>0</v>
      </c>
      <c r="AX202" t="n">
        <v>0</v>
      </c>
      <c r="AY202" t="n">
        <v>0</v>
      </c>
      <c r="AZ202" t="n">
        <v>0</v>
      </c>
      <c r="BA202" t="n">
        <v>0</v>
      </c>
      <c r="BB202" t="inlineStr">
        <is>
          <t xml:space="preserve"> Get the partner tested before marriage  </t>
        </is>
      </c>
      <c r="BC202" t="n">
        <v>1</v>
      </c>
      <c r="BD202" t="n">
        <v>0</v>
      </c>
      <c r="BE202" t="n">
        <v>0</v>
      </c>
      <c r="BF202" t="n">
        <v>0</v>
      </c>
      <c r="BG202" t="inlineStr">
        <is>
          <t xml:space="preserve">School  </t>
        </is>
      </c>
      <c r="BH202" t="inlineStr">
        <is>
          <t>Definitely not</t>
        </is>
      </c>
      <c r="BI202" t="inlineStr">
        <is>
          <t>Not sure</t>
        </is>
      </c>
      <c r="BJ202" t="inlineStr">
        <is>
          <t xml:space="preserve">Important </t>
        </is>
      </c>
      <c r="BP202" t="inlineStr">
        <is>
          <t xml:space="preserve">Agree </t>
        </is>
      </c>
      <c r="BQ202" t="inlineStr">
        <is>
          <t xml:space="preserve">Yes </t>
        </is>
      </c>
      <c r="BS202" t="inlineStr">
        <is>
          <t>None</t>
        </is>
      </c>
      <c r="BT202" t="inlineStr">
        <is>
          <t>None</t>
        </is>
      </c>
      <c r="BU202" t="inlineStr">
        <is>
          <t>None</t>
        </is>
      </c>
      <c r="BV202" t="inlineStr">
        <is>
          <t>Perception that screening was unnecessary Cost or access issues</t>
        </is>
      </c>
      <c r="BW202" t="n">
        <v>0</v>
      </c>
      <c r="BX202" t="n">
        <v>0</v>
      </c>
      <c r="BY202" t="n">
        <v>0</v>
      </c>
      <c r="BZ202" t="n">
        <v>1</v>
      </c>
      <c r="CA202" t="n">
        <v>1</v>
      </c>
      <c r="CB202" t="n">
        <v>0</v>
      </c>
      <c r="CD202" t="inlineStr">
        <is>
          <t xml:space="preserve">Difficult </t>
        </is>
      </c>
      <c r="CE202" t="inlineStr">
        <is>
          <t xml:space="preserve">Important </t>
        </is>
      </c>
      <c r="CF202" t="n">
        <v>679224042</v>
      </c>
      <c r="CG202" t="inlineStr">
        <is>
          <t>7d13186b-a385-468e-a046-56db7984ceef</t>
        </is>
      </c>
      <c r="CH202" s="1" t="n">
        <v>46077.73569444445</v>
      </c>
      <c r="CK202" t="inlineStr">
        <is>
          <t>submitted_via_web</t>
        </is>
      </c>
      <c r="CM202" t="inlineStr">
        <is>
          <t>vteYUDpqfKnk39PHFZkvPS</t>
        </is>
      </c>
      <c r="CO202" t="inlineStr">
        <is>
          <t>uuid:7d13186b-a385-468e-a046-56db7984ceef</t>
        </is>
      </c>
      <c r="CP202" t="n">
        <v>201</v>
      </c>
      <c r="CQ202" t="n">
        <v>3</v>
      </c>
      <c r="CR202" t="n">
        <v>-0.3165225292847399</v>
      </c>
    </row>
  </sheetData>
  <pageMargins left="0.7" right="0.7" top="0.75" bottom="0.75" header="0.3" footer="0.3"/>
  <pageSetup orientation="portrait" scale="10"/>
</worksheet>
</file>

<file path=xl/worksheets/sheet2.xml><?xml version="1.0" encoding="utf-8"?>
<worksheet xmlns="http://schemas.openxmlformats.org/spreadsheetml/2006/main">
  <sheetPr>
    <outlinePr summaryBelow="1" summaryRight="1"/>
    <pageSetUpPr fitToPage="1"/>
  </sheetPr>
  <dimension ref="A1:C111"/>
  <sheetViews>
    <sheetView topLeftCell="A108" workbookViewId="0">
      <selection activeCell="A1" sqref="A1"/>
    </sheetView>
  </sheetViews>
  <sheetFormatPr baseColWidth="8" defaultRowHeight="14.45"/>
  <cols>
    <col width="65.28515625" bestFit="1" customWidth="1" style="61" min="1" max="1"/>
    <col width="11.7109375" customWidth="1" style="61" min="2" max="2"/>
    <col width="12.28515625" customWidth="1" style="61" min="3" max="3"/>
  </cols>
  <sheetData>
    <row r="1" ht="18" customHeight="1" s="61">
      <c r="A1" s="3" t="inlineStr">
        <is>
          <t>SECTION A: DEMOGRAPHICS &amp; BACKGROUND (Q1-Q14)</t>
        </is>
      </c>
    </row>
    <row r="3">
      <c r="A3" t="inlineStr">
        <is>
          <t>Total Responses:</t>
        </is>
      </c>
      <c r="B3" t="n">
        <v>201</v>
      </c>
    </row>
    <row r="5">
      <c r="A5" s="2" t="inlineStr">
        <is>
          <t>1. AGE DISTRIBUTION</t>
        </is>
      </c>
    </row>
    <row r="6">
      <c r="A6" t="inlineStr">
        <is>
          <t>Statistic</t>
        </is>
      </c>
      <c r="B6" t="inlineStr">
        <is>
          <t>Value</t>
        </is>
      </c>
    </row>
    <row r="7">
      <c r="A7" t="inlineStr">
        <is>
          <t>Minimum</t>
        </is>
      </c>
      <c r="B7" t="n">
        <v>15</v>
      </c>
    </row>
    <row r="8">
      <c r="A8" t="inlineStr">
        <is>
          <t>Maximum</t>
        </is>
      </c>
      <c r="B8" t="n">
        <v>63</v>
      </c>
    </row>
    <row r="9">
      <c r="A9" t="inlineStr">
        <is>
          <t>Mean</t>
        </is>
      </c>
      <c r="B9" t="n">
        <v>29.9</v>
      </c>
    </row>
    <row r="10">
      <c r="A10" t="inlineStr">
        <is>
          <t>N (valid)</t>
        </is>
      </c>
      <c r="B10" t="n">
        <v>201</v>
      </c>
    </row>
    <row r="12">
      <c r="A12" s="2" t="inlineStr">
        <is>
          <t>Age Group</t>
        </is>
      </c>
      <c r="B12" s="2" t="inlineStr">
        <is>
          <t>Frequency</t>
        </is>
      </c>
      <c r="C12" s="2" t="inlineStr">
        <is>
          <t>Percentage</t>
        </is>
      </c>
    </row>
    <row r="13">
      <c r="A13" t="inlineStr">
        <is>
          <t>18-24</t>
        </is>
      </c>
      <c r="B13" t="n">
        <v>73</v>
      </c>
      <c r="C13" s="4" t="n">
        <v>0.363</v>
      </c>
    </row>
    <row r="14">
      <c r="A14" t="inlineStr">
        <is>
          <t>25-34</t>
        </is>
      </c>
      <c r="B14" t="n">
        <v>78</v>
      </c>
      <c r="C14" s="4" t="n">
        <v>0.388</v>
      </c>
    </row>
    <row r="15">
      <c r="A15" t="inlineStr">
        <is>
          <t>35-44</t>
        </is>
      </c>
      <c r="B15" t="n">
        <v>28</v>
      </c>
      <c r="C15" s="4" t="n">
        <v>0.139</v>
      </c>
    </row>
    <row r="16">
      <c r="A16" t="inlineStr">
        <is>
          <t>45-54</t>
        </is>
      </c>
      <c r="B16" t="n">
        <v>15</v>
      </c>
      <c r="C16" s="4" t="n">
        <v>0.075</v>
      </c>
    </row>
    <row r="17">
      <c r="A17" t="inlineStr">
        <is>
          <t>55+</t>
        </is>
      </c>
      <c r="B17" t="n">
        <v>7</v>
      </c>
      <c r="C17" s="4" t="n">
        <v>0.035</v>
      </c>
    </row>
    <row r="20">
      <c r="A20" s="2" t="inlineStr">
        <is>
          <t>2. GENDER</t>
        </is>
      </c>
    </row>
    <row r="21">
      <c r="A21" s="2" t="inlineStr">
        <is>
          <t>Category</t>
        </is>
      </c>
      <c r="B21" s="2" t="inlineStr">
        <is>
          <t>Frequency</t>
        </is>
      </c>
      <c r="C21" s="2" t="inlineStr">
        <is>
          <t>Percentage</t>
        </is>
      </c>
    </row>
    <row r="22">
      <c r="A22" t="inlineStr">
        <is>
          <t>Female</t>
        </is>
      </c>
      <c r="B22" t="n">
        <v>115</v>
      </c>
      <c r="C22" s="4" t="n">
        <v>0.572</v>
      </c>
    </row>
    <row r="23">
      <c r="A23" t="inlineStr">
        <is>
          <t>Male</t>
        </is>
      </c>
      <c r="B23" t="n">
        <v>85</v>
      </c>
      <c r="C23" s="4" t="n">
        <v>0.423</v>
      </c>
    </row>
    <row r="24">
      <c r="A24" t="inlineStr">
        <is>
          <t>(Missing)</t>
        </is>
      </c>
      <c r="B24" t="n">
        <v>1</v>
      </c>
      <c r="C24" s="4" t="n">
        <v>0.005</v>
      </c>
    </row>
    <row r="27">
      <c r="A27" s="2" t="inlineStr">
        <is>
          <t>3. ETHNICITY</t>
        </is>
      </c>
    </row>
    <row r="28">
      <c r="A28" s="2" t="inlineStr">
        <is>
          <t>Category</t>
        </is>
      </c>
      <c r="B28" s="2" t="inlineStr">
        <is>
          <t>Frequency</t>
        </is>
      </c>
      <c r="C28" s="2" t="inlineStr">
        <is>
          <t>Percentage</t>
        </is>
      </c>
    </row>
    <row r="29">
      <c r="A29" t="inlineStr">
        <is>
          <t>Sinhalese</t>
        </is>
      </c>
      <c r="B29" t="n">
        <v>195</v>
      </c>
      <c r="C29" s="4" t="n">
        <v>0.97</v>
      </c>
    </row>
    <row r="30">
      <c r="A30" t="inlineStr">
        <is>
          <t>Tamil</t>
        </is>
      </c>
      <c r="B30" t="n">
        <v>5</v>
      </c>
      <c r="C30" s="4" t="n">
        <v>0.025</v>
      </c>
    </row>
    <row r="31">
      <c r="A31" t="inlineStr">
        <is>
          <t>(Missing)</t>
        </is>
      </c>
      <c r="B31" t="n">
        <v>1</v>
      </c>
      <c r="C31" s="4" t="n">
        <v>0.005</v>
      </c>
    </row>
    <row r="34">
      <c r="A34" s="2" t="inlineStr">
        <is>
          <t>4. RELIGION</t>
        </is>
      </c>
    </row>
    <row r="35">
      <c r="A35" s="2" t="inlineStr">
        <is>
          <t>Category</t>
        </is>
      </c>
      <c r="B35" s="2" t="inlineStr">
        <is>
          <t>Frequency</t>
        </is>
      </c>
      <c r="C35" s="2" t="inlineStr">
        <is>
          <t>Percentage</t>
        </is>
      </c>
    </row>
    <row r="36">
      <c r="A36" t="inlineStr">
        <is>
          <t>Buddhist</t>
        </is>
      </c>
      <c r="B36" t="n">
        <v>176</v>
      </c>
      <c r="C36" s="4" t="n">
        <v>0.876</v>
      </c>
    </row>
    <row r="37">
      <c r="A37" t="inlineStr">
        <is>
          <t>Roman Catholic</t>
        </is>
      </c>
      <c r="B37" t="n">
        <v>13</v>
      </c>
      <c r="C37" s="4" t="n">
        <v>0.065</v>
      </c>
    </row>
    <row r="38">
      <c r="A38" t="inlineStr">
        <is>
          <t>Christian</t>
        </is>
      </c>
      <c r="B38" t="n">
        <v>6</v>
      </c>
      <c r="C38" s="4" t="n">
        <v>0.03</v>
      </c>
    </row>
    <row r="39">
      <c r="A39" t="inlineStr">
        <is>
          <t>Hindu</t>
        </is>
      </c>
      <c r="B39" t="n">
        <v>5</v>
      </c>
      <c r="C39" s="4" t="n">
        <v>0.025</v>
      </c>
    </row>
    <row r="40">
      <c r="A40" t="inlineStr">
        <is>
          <t>(Missing)</t>
        </is>
      </c>
      <c r="B40" t="n">
        <v>1</v>
      </c>
      <c r="C40" s="4" t="n">
        <v>0.005</v>
      </c>
    </row>
    <row r="43">
      <c r="A43" s="2" t="inlineStr">
        <is>
          <t>5. OCCUPATION</t>
        </is>
      </c>
    </row>
    <row r="44">
      <c r="A44" s="2" t="inlineStr">
        <is>
          <t>Category</t>
        </is>
      </c>
      <c r="B44" s="2" t="inlineStr">
        <is>
          <t>Frequency</t>
        </is>
      </c>
      <c r="C44" s="2" t="inlineStr">
        <is>
          <t>Percentage</t>
        </is>
      </c>
    </row>
    <row r="45">
      <c r="A45" t="inlineStr">
        <is>
          <t>Government sector</t>
        </is>
      </c>
      <c r="B45" t="n">
        <v>48</v>
      </c>
      <c r="C45" s="4" t="n">
        <v>0.239</v>
      </c>
    </row>
    <row r="46">
      <c r="A46" t="inlineStr">
        <is>
          <t>Private sector</t>
        </is>
      </c>
      <c r="B46" t="n">
        <v>66</v>
      </c>
      <c r="C46" s="4" t="n">
        <v>0.328</v>
      </c>
    </row>
    <row r="47">
      <c r="A47" t="inlineStr">
        <is>
          <t>Self-employed</t>
        </is>
      </c>
      <c r="B47" t="n">
        <v>8</v>
      </c>
      <c r="C47" s="4" t="n">
        <v>0.04</v>
      </c>
    </row>
    <row r="48">
      <c r="A48" t="inlineStr">
        <is>
          <t>Not employed</t>
        </is>
      </c>
      <c r="B48" t="n">
        <v>76</v>
      </c>
      <c r="C48" s="4" t="n">
        <v>0.378</v>
      </c>
    </row>
    <row r="49">
      <c r="A49" t="inlineStr">
        <is>
          <t>(Missing)</t>
        </is>
      </c>
      <c r="B49" t="n">
        <v>3</v>
      </c>
      <c r="C49" s="4" t="n">
        <v>0.015</v>
      </c>
    </row>
    <row r="52">
      <c r="A52" s="2" t="inlineStr">
        <is>
          <t>6. MONTHLY INCOME (LKR)</t>
        </is>
      </c>
    </row>
    <row r="53">
      <c r="A53" s="2" t="inlineStr">
        <is>
          <t>Category</t>
        </is>
      </c>
      <c r="B53" s="2" t="inlineStr">
        <is>
          <t>Frequency</t>
        </is>
      </c>
      <c r="C53" s="2" t="inlineStr">
        <is>
          <t>Percentage</t>
        </is>
      </c>
    </row>
    <row r="54">
      <c r="A54" t="inlineStr">
        <is>
          <t>&gt; 100,000</t>
        </is>
      </c>
      <c r="B54" t="n">
        <v>14</v>
      </c>
      <c r="C54" s="4" t="n">
        <v>0.07000000000000001</v>
      </c>
    </row>
    <row r="55">
      <c r="A55" t="inlineStr">
        <is>
          <t>51,000 – 100,000</t>
        </is>
      </c>
      <c r="B55" t="n">
        <v>66</v>
      </c>
      <c r="C55" s="4" t="n">
        <v>0.328</v>
      </c>
    </row>
    <row r="56">
      <c r="A56" t="inlineStr">
        <is>
          <t>25,000 – 50,000</t>
        </is>
      </c>
      <c r="B56" t="n">
        <v>42</v>
      </c>
      <c r="C56" s="4" t="n">
        <v>0.209</v>
      </c>
    </row>
    <row r="57">
      <c r="A57" t="inlineStr">
        <is>
          <t>&lt; 25,000</t>
        </is>
      </c>
      <c r="B57" t="n">
        <v>5</v>
      </c>
      <c r="C57" s="4" t="n">
        <v>0.025</v>
      </c>
    </row>
    <row r="58">
      <c r="A58" t="inlineStr">
        <is>
          <t>(Missing)</t>
        </is>
      </c>
      <c r="B58" t="n">
        <v>74</v>
      </c>
      <c r="C58" s="4" t="n">
        <v>0.368</v>
      </c>
    </row>
    <row r="61">
      <c r="A61" s="2" t="inlineStr">
        <is>
          <t>7. EDUCATION LEVEL</t>
        </is>
      </c>
    </row>
    <row r="62">
      <c r="A62" s="2" t="inlineStr">
        <is>
          <t>Category</t>
        </is>
      </c>
      <c r="B62" s="2" t="inlineStr">
        <is>
          <t>Frequency</t>
        </is>
      </c>
      <c r="C62" s="2" t="inlineStr">
        <is>
          <t>Percentage</t>
        </is>
      </c>
    </row>
    <row r="63">
      <c r="A63" t="inlineStr">
        <is>
          <t>Graduate</t>
        </is>
      </c>
      <c r="B63" t="n">
        <v>36</v>
      </c>
      <c r="C63" s="4" t="n">
        <v>0.179</v>
      </c>
    </row>
    <row r="64">
      <c r="A64" t="inlineStr">
        <is>
          <t>Up to A/L</t>
        </is>
      </c>
      <c r="B64" t="n">
        <v>83</v>
      </c>
      <c r="C64" s="4" t="n">
        <v>0.413</v>
      </c>
    </row>
    <row r="65">
      <c r="A65" t="inlineStr">
        <is>
          <t>Up to O/L</t>
        </is>
      </c>
      <c r="B65" t="n">
        <v>37</v>
      </c>
      <c r="C65" s="4" t="n">
        <v>0.184</v>
      </c>
    </row>
    <row r="66">
      <c r="A66" t="inlineStr">
        <is>
          <t>Undergraduate</t>
        </is>
      </c>
      <c r="B66" t="n">
        <v>43</v>
      </c>
      <c r="C66" s="4" t="n">
        <v>0.214</v>
      </c>
    </row>
    <row r="67">
      <c r="A67" t="inlineStr">
        <is>
          <t>(Missing)</t>
        </is>
      </c>
      <c r="B67" t="n">
        <v>2</v>
      </c>
      <c r="C67" s="4" t="n">
        <v>0.01</v>
      </c>
    </row>
    <row r="70">
      <c r="A70" s="2" t="inlineStr">
        <is>
          <t>8. RESIDING PROVINCE</t>
        </is>
      </c>
    </row>
    <row r="71">
      <c r="A71" s="2" t="inlineStr">
        <is>
          <t>Category</t>
        </is>
      </c>
      <c r="B71" s="2" t="inlineStr">
        <is>
          <t>Frequency</t>
        </is>
      </c>
      <c r="C71" s="2" t="inlineStr">
        <is>
          <t>Percentage</t>
        </is>
      </c>
    </row>
    <row r="72">
      <c r="A72" t="inlineStr">
        <is>
          <t>Western</t>
        </is>
      </c>
      <c r="B72" t="n">
        <v>120</v>
      </c>
      <c r="C72" s="4" t="n">
        <v>0.597</v>
      </c>
    </row>
    <row r="73">
      <c r="A73" t="inlineStr">
        <is>
          <t>North Western</t>
        </is>
      </c>
      <c r="B73" t="n">
        <v>41</v>
      </c>
      <c r="C73" s="4" t="n">
        <v>0.204</v>
      </c>
    </row>
    <row r="74">
      <c r="A74" t="inlineStr">
        <is>
          <t>Uva</t>
        </is>
      </c>
      <c r="B74" t="n">
        <v>4</v>
      </c>
      <c r="C74" s="4" t="n">
        <v>0.02</v>
      </c>
    </row>
    <row r="75">
      <c r="A75" t="inlineStr">
        <is>
          <t>Central</t>
        </is>
      </c>
      <c r="B75" t="n">
        <v>6</v>
      </c>
      <c r="C75" s="4" t="n">
        <v>0.03</v>
      </c>
    </row>
    <row r="76">
      <c r="A76" t="inlineStr">
        <is>
          <t>Southern</t>
        </is>
      </c>
      <c r="B76" t="n">
        <v>4</v>
      </c>
      <c r="C76" s="4" t="n">
        <v>0.02</v>
      </c>
    </row>
    <row r="77">
      <c r="A77" t="inlineStr">
        <is>
          <t>Sabaragamuwa</t>
        </is>
      </c>
      <c r="B77" t="n">
        <v>5</v>
      </c>
      <c r="C77" s="4" t="n">
        <v>0.025</v>
      </c>
    </row>
    <row r="78">
      <c r="A78" t="inlineStr">
        <is>
          <t>Eastern</t>
        </is>
      </c>
      <c r="B78" t="n">
        <v>11</v>
      </c>
      <c r="C78" s="4" t="n">
        <v>0.055</v>
      </c>
    </row>
    <row r="79">
      <c r="A79" t="inlineStr">
        <is>
          <t>North Central</t>
        </is>
      </c>
      <c r="B79" t="n">
        <v>9</v>
      </c>
      <c r="C79" s="4" t="n">
        <v>0.045</v>
      </c>
    </row>
    <row r="80">
      <c r="A80" t="inlineStr">
        <is>
          <t>Northern</t>
        </is>
      </c>
      <c r="B80" t="n">
        <v>1</v>
      </c>
      <c r="C80" s="4" t="n">
        <v>0.005</v>
      </c>
    </row>
    <row r="83">
      <c r="A83" s="2" t="inlineStr">
        <is>
          <t>9. MARITAL STATUS</t>
        </is>
      </c>
    </row>
    <row r="84">
      <c r="A84" s="2" t="inlineStr">
        <is>
          <t>Category</t>
        </is>
      </c>
      <c r="B84" s="2" t="inlineStr">
        <is>
          <t>Frequency</t>
        </is>
      </c>
      <c r="C84" s="2" t="inlineStr">
        <is>
          <t>Percentage</t>
        </is>
      </c>
    </row>
    <row r="85">
      <c r="A85" t="inlineStr">
        <is>
          <t>Single</t>
        </is>
      </c>
      <c r="B85" t="n">
        <v>131</v>
      </c>
      <c r="C85" s="4" t="n">
        <v>0.652</v>
      </c>
    </row>
    <row r="86">
      <c r="A86" t="inlineStr">
        <is>
          <t>Married</t>
        </is>
      </c>
      <c r="B86" t="n">
        <v>70</v>
      </c>
      <c r="C86" s="4" t="n">
        <v>0.348</v>
      </c>
    </row>
    <row r="89">
      <c r="A89" s="2" t="inlineStr">
        <is>
          <t>10. DO YOU HAVE CHILDREN?</t>
        </is>
      </c>
    </row>
    <row r="90">
      <c r="A90" s="2" t="inlineStr">
        <is>
          <t>Category</t>
        </is>
      </c>
      <c r="B90" s="2" t="inlineStr">
        <is>
          <t>Frequency</t>
        </is>
      </c>
      <c r="C90" s="2" t="inlineStr">
        <is>
          <t>Percentage</t>
        </is>
      </c>
    </row>
    <row r="91">
      <c r="A91" t="inlineStr">
        <is>
          <t>(Missing)</t>
        </is>
      </c>
      <c r="B91" t="n">
        <v>131</v>
      </c>
      <c r="C91" s="4" t="n">
        <v>0.652</v>
      </c>
    </row>
    <row r="92">
      <c r="A92" t="inlineStr">
        <is>
          <t>No children</t>
        </is>
      </c>
      <c r="B92" t="n">
        <v>19</v>
      </c>
      <c r="C92" s="4" t="n">
        <v>0.095</v>
      </c>
    </row>
    <row r="93">
      <c r="A93" t="inlineStr">
        <is>
          <t>Yes, more than one child</t>
        </is>
      </c>
      <c r="B93" t="n">
        <v>31</v>
      </c>
      <c r="C93" s="4" t="n">
        <v>0.154</v>
      </c>
    </row>
    <row r="94">
      <c r="A94" t="inlineStr">
        <is>
          <t>Yes, only one child</t>
        </is>
      </c>
      <c r="B94" t="n">
        <v>20</v>
      </c>
      <c r="C94" s="4" t="n">
        <v>0.1</v>
      </c>
    </row>
    <row r="97">
      <c r="A97" s="2" t="inlineStr">
        <is>
          <t>11. FAMILY HISTORY OF INHERITED BLOOD DISORDER</t>
        </is>
      </c>
    </row>
    <row r="98">
      <c r="A98" s="2" t="inlineStr">
        <is>
          <t>Category</t>
        </is>
      </c>
      <c r="B98" s="2" t="inlineStr">
        <is>
          <t>Frequency</t>
        </is>
      </c>
      <c r="C98" s="2" t="inlineStr">
        <is>
          <t>Percentage</t>
        </is>
      </c>
    </row>
    <row r="99">
      <c r="A99" t="inlineStr">
        <is>
          <t>No</t>
        </is>
      </c>
      <c r="B99" t="n">
        <v>137</v>
      </c>
      <c r="C99" s="4" t="n">
        <v>0.6820000000000001</v>
      </c>
    </row>
    <row r="100">
      <c r="A100" t="inlineStr">
        <is>
          <t>I don’t know</t>
        </is>
      </c>
      <c r="B100" t="n">
        <v>22</v>
      </c>
      <c r="C100" s="4" t="n">
        <v>0.109</v>
      </c>
    </row>
    <row r="101">
      <c r="A101" t="inlineStr">
        <is>
          <t>Yes</t>
        </is>
      </c>
      <c r="B101" t="n">
        <v>39</v>
      </c>
      <c r="C101" s="4" t="n">
        <v>0.194</v>
      </c>
    </row>
    <row r="102">
      <c r="A102" t="inlineStr">
        <is>
          <t>(Missing)</t>
        </is>
      </c>
      <c r="B102" t="n">
        <v>3</v>
      </c>
      <c r="C102" s="4" t="n">
        <v>0.015</v>
      </c>
    </row>
    <row r="104">
      <c r="A104" s="2" t="inlineStr">
        <is>
          <t>12. PLACE OF DIAGNOSIS</t>
        </is>
      </c>
    </row>
    <row r="105">
      <c r="A105" s="2" t="inlineStr">
        <is>
          <t>Category</t>
        </is>
      </c>
      <c r="B105" s="2" t="inlineStr">
        <is>
          <t>Frequency</t>
        </is>
      </c>
      <c r="C105" s="2" t="inlineStr">
        <is>
          <t>Percentage</t>
        </is>
      </c>
    </row>
    <row r="106">
      <c r="A106" t="inlineStr">
        <is>
          <t>At workplace</t>
        </is>
      </c>
      <c r="B106" t="n">
        <v>40</v>
      </c>
      <c r="C106" s="4" t="n">
        <v>0.199</v>
      </c>
    </row>
    <row r="107">
      <c r="A107" t="inlineStr">
        <is>
          <t>During school/university</t>
        </is>
      </c>
      <c r="B107" t="n">
        <v>98</v>
      </c>
      <c r="C107" s="4" t="n">
        <v>0.488</v>
      </c>
    </row>
    <row r="108">
      <c r="A108" t="inlineStr">
        <is>
          <t>(Missing)</t>
        </is>
      </c>
      <c r="B108" t="n">
        <v>1</v>
      </c>
      <c r="C108" s="4" t="n">
        <v>0.005</v>
      </c>
    </row>
    <row r="109">
      <c r="A109" t="inlineStr">
        <is>
          <t>Individual or family screening after a relative was diagnosed</t>
        </is>
      </c>
      <c r="B109" t="n">
        <v>9</v>
      </c>
      <c r="C109" s="4" t="n">
        <v>0.045</v>
      </c>
    </row>
    <row r="110">
      <c r="A110" t="inlineStr">
        <is>
          <t>During community screening</t>
        </is>
      </c>
      <c r="B110" t="n">
        <v>46</v>
      </c>
      <c r="C110" s="4" t="n">
        <v>0.229</v>
      </c>
    </row>
    <row r="111">
      <c r="A111" t="inlineStr">
        <is>
          <t>Referral by a doctor</t>
        </is>
      </c>
      <c r="B111" t="n">
        <v>7</v>
      </c>
      <c r="C111" s="4" t="n">
        <v>0.035</v>
      </c>
    </row>
  </sheetData>
  <pageMargins left="0.7" right="0.7" top="0.75" bottom="0.75" header="0.3" footer="0.3"/>
  <pageSetup orientation="portrait" scale="36"/>
  <drawing xmlns:r="http://schemas.openxmlformats.org/officeDocument/2006/relationships" r:id="rId1"/>
  <tableParts count="13">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3.xml><?xml version="1.0" encoding="utf-8"?>
<worksheet xmlns="http://schemas.openxmlformats.org/spreadsheetml/2006/main">
  <sheetPr>
    <outlinePr summaryBelow="1" summaryRight="1"/>
    <pageSetUpPr fitToPage="1"/>
  </sheetPr>
  <dimension ref="A1:C125"/>
  <sheetViews>
    <sheetView topLeftCell="A105" workbookViewId="0">
      <selection activeCell="A1" sqref="A1"/>
    </sheetView>
  </sheetViews>
  <sheetFormatPr baseColWidth="8" defaultRowHeight="14.45"/>
  <cols>
    <col width="68.5703125" bestFit="1" customWidth="1" style="61" min="1" max="1"/>
    <col width="11.7109375" bestFit="1" customWidth="1" style="61" min="2" max="2"/>
    <col width="11.140625" bestFit="1" customWidth="1" style="61" min="3" max="3"/>
  </cols>
  <sheetData>
    <row r="1" ht="18" customHeight="1" s="61">
      <c r="A1" s="3" t="inlineStr">
        <is>
          <t>SECTION B: KNOWLEDGE ON THALASSEMIA (Q15-Q29)</t>
        </is>
      </c>
    </row>
    <row r="3">
      <c r="A3" t="inlineStr">
        <is>
          <t>Total Responses:</t>
        </is>
      </c>
      <c r="B3" t="n">
        <v>201</v>
      </c>
    </row>
    <row r="5">
      <c r="A5" s="2" t="inlineStr">
        <is>
          <t>Q15. IS THALASSEMIA A BLOOD-RELATED DISEASE?</t>
        </is>
      </c>
    </row>
    <row r="6">
      <c r="A6" s="2" t="inlineStr">
        <is>
          <t>Response</t>
        </is>
      </c>
      <c r="B6" s="2" t="inlineStr">
        <is>
          <t>Frequency</t>
        </is>
      </c>
      <c r="C6" s="2" t="inlineStr">
        <is>
          <t>Percentage</t>
        </is>
      </c>
    </row>
    <row r="7">
      <c r="A7" t="inlineStr">
        <is>
          <t>Yes</t>
        </is>
      </c>
      <c r="B7" t="n">
        <v>181</v>
      </c>
      <c r="C7" s="4" t="n">
        <v>0.9</v>
      </c>
    </row>
    <row r="8">
      <c r="A8" t="inlineStr">
        <is>
          <t>Don’t know</t>
        </is>
      </c>
      <c r="B8" t="n">
        <v>16</v>
      </c>
      <c r="C8" s="4" t="n">
        <v>0.08</v>
      </c>
    </row>
    <row r="9">
      <c r="A9" t="inlineStr">
        <is>
          <t>No</t>
        </is>
      </c>
      <c r="B9" t="n">
        <v>4</v>
      </c>
      <c r="C9" s="4" t="n">
        <v>0.02</v>
      </c>
    </row>
    <row r="12">
      <c r="A12" s="2" t="inlineStr">
        <is>
          <t>Q16. CLINICAL FORMS OF THALASSEMIA (Multi-select)</t>
        </is>
      </c>
    </row>
    <row r="13">
      <c r="A13" s="2" t="inlineStr">
        <is>
          <t>Option</t>
        </is>
      </c>
      <c r="B13" s="2" t="inlineStr">
        <is>
          <t>Selected (n)</t>
        </is>
      </c>
      <c r="C13" s="2" t="inlineStr">
        <is>
          <t>Percentage</t>
        </is>
      </c>
    </row>
    <row r="14">
      <c r="A14" t="inlineStr">
        <is>
          <t>Thalassemia major (severe form)</t>
        </is>
      </c>
      <c r="B14" t="n">
        <v>147</v>
      </c>
      <c r="C14" s="4" t="n">
        <v>0.731</v>
      </c>
    </row>
    <row r="15">
      <c r="A15" t="inlineStr">
        <is>
          <t>Thalassemia minor or trait (carrier form)</t>
        </is>
      </c>
      <c r="B15" t="n">
        <v>146</v>
      </c>
      <c r="C15" s="4" t="n">
        <v>0.726</v>
      </c>
    </row>
    <row r="16">
      <c r="A16" t="inlineStr">
        <is>
          <t>Thalassemia intermedia (moderate form)</t>
        </is>
      </c>
      <c r="B16" t="n">
        <v>15</v>
      </c>
      <c r="C16" s="4" t="n">
        <v>0.075</v>
      </c>
    </row>
    <row r="19">
      <c r="A19" s="2" t="inlineStr">
        <is>
          <t>Q17. MOST SEVERE FORM OF THALASSEMIA</t>
        </is>
      </c>
    </row>
    <row r="20">
      <c r="A20" s="2" t="inlineStr">
        <is>
          <t>Response</t>
        </is>
      </c>
      <c r="B20" s="2" t="inlineStr">
        <is>
          <t>Frequency</t>
        </is>
      </c>
      <c r="C20" s="2" t="inlineStr">
        <is>
          <t>Percentage</t>
        </is>
      </c>
    </row>
    <row r="21">
      <c r="A21" t="inlineStr">
        <is>
          <t>Thalassemia major (severe form)</t>
        </is>
      </c>
      <c r="B21" t="n">
        <v>126</v>
      </c>
      <c r="C21" s="4" t="n">
        <v>0.627</v>
      </c>
    </row>
    <row r="22">
      <c r="A22" t="inlineStr">
        <is>
          <t>I don’t know</t>
        </is>
      </c>
      <c r="B22" t="n">
        <v>61</v>
      </c>
      <c r="C22" s="4" t="n">
        <v>0.303</v>
      </c>
    </row>
    <row r="23">
      <c r="A23" t="inlineStr">
        <is>
          <t>Thalassemia major (severe form)   I don’t know</t>
        </is>
      </c>
      <c r="B23" t="n">
        <v>1</v>
      </c>
      <c r="C23" s="4" t="n">
        <v>0.005</v>
      </c>
    </row>
    <row r="24">
      <c r="A24" t="inlineStr">
        <is>
          <t>Thalassemia minor or trait (carrier form)</t>
        </is>
      </c>
      <c r="B24" t="n">
        <v>7</v>
      </c>
      <c r="C24" s="4" t="n">
        <v>0.035</v>
      </c>
    </row>
    <row r="25">
      <c r="A25" t="inlineStr">
        <is>
          <t>Thalassemia major (severe form)   Thalassemia minor or trait (carrier form)</t>
        </is>
      </c>
      <c r="B25" t="n">
        <v>4</v>
      </c>
      <c r="C25" s="4" t="n">
        <v>0.02</v>
      </c>
    </row>
    <row r="26">
      <c r="A26" t="inlineStr">
        <is>
          <t>(Missing)</t>
        </is>
      </c>
      <c r="B26" t="n">
        <v>2</v>
      </c>
      <c r="C26" s="4" t="n">
        <v>0.01</v>
      </c>
    </row>
    <row r="29">
      <c r="A29" s="2" t="inlineStr">
        <is>
          <t>Q18. FORM OF THALASSEMIA YOU HAVE</t>
        </is>
      </c>
    </row>
    <row r="30">
      <c r="A30" s="2" t="inlineStr">
        <is>
          <t>Response</t>
        </is>
      </c>
      <c r="B30" s="2" t="inlineStr">
        <is>
          <t>Frequency</t>
        </is>
      </c>
      <c r="C30" s="2" t="inlineStr">
        <is>
          <t>Percentage</t>
        </is>
      </c>
    </row>
    <row r="31">
      <c r="A31" t="inlineStr">
        <is>
          <t>Thalassemia minor or trait (carrier form)</t>
        </is>
      </c>
      <c r="B31" t="n">
        <v>173</v>
      </c>
      <c r="C31" s="4" t="n">
        <v>0.861</v>
      </c>
    </row>
    <row r="32">
      <c r="A32" t="inlineStr">
        <is>
          <t>I don’t know</t>
        </is>
      </c>
      <c r="B32" t="n">
        <v>18</v>
      </c>
      <c r="C32" s="4" t="n">
        <v>0.09</v>
      </c>
    </row>
    <row r="33">
      <c r="A33" t="inlineStr">
        <is>
          <t>Thalassemia intermedia (moderate form)</t>
        </is>
      </c>
      <c r="B33" t="n">
        <v>1</v>
      </c>
      <c r="C33" s="4" t="n">
        <v>0.005</v>
      </c>
    </row>
    <row r="34">
      <c r="A34" t="inlineStr">
        <is>
          <t>Thalassemia major (severe form)</t>
        </is>
      </c>
      <c r="B34" t="n">
        <v>6</v>
      </c>
      <c r="C34" s="4" t="n">
        <v>0.03</v>
      </c>
    </row>
    <row r="35">
      <c r="A35" t="inlineStr">
        <is>
          <t>(Missing)</t>
        </is>
      </c>
      <c r="B35" t="n">
        <v>3</v>
      </c>
      <c r="C35" s="4" t="n">
        <v>0.015</v>
      </c>
    </row>
    <row r="38">
      <c r="A38" s="2" t="inlineStr">
        <is>
          <t>Q19. DOES THALASSEMIA MAJOR REQUIRE LIFELONG TREATMENT?</t>
        </is>
      </c>
    </row>
    <row r="39">
      <c r="A39" s="2" t="inlineStr">
        <is>
          <t>Response</t>
        </is>
      </c>
      <c r="B39" s="2" t="inlineStr">
        <is>
          <t>Frequency</t>
        </is>
      </c>
      <c r="C39" s="2" t="inlineStr">
        <is>
          <t>Percentage</t>
        </is>
      </c>
    </row>
    <row r="40">
      <c r="A40" t="inlineStr">
        <is>
          <t>Yes</t>
        </is>
      </c>
      <c r="B40" t="n">
        <v>129</v>
      </c>
      <c r="C40" s="4" t="n">
        <v>0.642</v>
      </c>
    </row>
    <row r="41">
      <c r="A41" t="inlineStr">
        <is>
          <t>No</t>
        </is>
      </c>
      <c r="B41" t="n">
        <v>11</v>
      </c>
      <c r="C41" s="4" t="n">
        <v>0.055</v>
      </c>
    </row>
    <row r="42">
      <c r="A42" t="inlineStr">
        <is>
          <t>Don’t know</t>
        </is>
      </c>
      <c r="B42" t="n">
        <v>60</v>
      </c>
      <c r="C42" s="4" t="n">
        <v>0.299</v>
      </c>
    </row>
    <row r="43">
      <c r="A43" t="inlineStr">
        <is>
          <t>(Missing)</t>
        </is>
      </c>
      <c r="B43" t="n">
        <v>1</v>
      </c>
      <c r="C43" s="4" t="n">
        <v>0.005</v>
      </c>
    </row>
    <row r="46">
      <c r="A46" s="2" t="inlineStr">
        <is>
          <t>Q20. CAN THALASSEMIA MAJOR BE CURED?</t>
        </is>
      </c>
    </row>
    <row r="47">
      <c r="A47" s="2" t="inlineStr">
        <is>
          <t>Response</t>
        </is>
      </c>
      <c r="B47" s="2" t="inlineStr">
        <is>
          <t>Frequency</t>
        </is>
      </c>
      <c r="C47" s="2" t="inlineStr">
        <is>
          <t>Percentage</t>
        </is>
      </c>
    </row>
    <row r="48">
      <c r="A48" t="inlineStr">
        <is>
          <t>Cannot be cured</t>
        </is>
      </c>
      <c r="B48" t="n">
        <v>96</v>
      </c>
      <c r="C48" s="4" t="n">
        <v>0.478</v>
      </c>
    </row>
    <row r="49">
      <c r="A49" t="inlineStr">
        <is>
          <t>Very difficult (e.g., bone marrow transplant)</t>
        </is>
      </c>
      <c r="B49" t="n">
        <v>30</v>
      </c>
      <c r="C49" s="4" t="n">
        <v>0.149</v>
      </c>
    </row>
    <row r="50">
      <c r="A50" t="inlineStr">
        <is>
          <t>Don’t know</t>
        </is>
      </c>
      <c r="B50" t="n">
        <v>67</v>
      </c>
      <c r="C50" s="4" t="n">
        <v>0.333</v>
      </c>
    </row>
    <row r="51">
      <c r="A51" t="inlineStr">
        <is>
          <t>Can be cured with common treatments</t>
        </is>
      </c>
      <c r="B51" t="n">
        <v>8</v>
      </c>
      <c r="C51" s="4" t="n">
        <v>0.04</v>
      </c>
    </row>
    <row r="54">
      <c r="A54" s="2" t="inlineStr">
        <is>
          <t>Q21. CAN THE SPREAD OF THALASSEMIA BE PREVENTED?</t>
        </is>
      </c>
    </row>
    <row r="55">
      <c r="A55" s="2" t="inlineStr">
        <is>
          <t>Response</t>
        </is>
      </c>
      <c r="B55" s="2" t="inlineStr">
        <is>
          <t>Frequency</t>
        </is>
      </c>
      <c r="C55" s="2" t="inlineStr">
        <is>
          <t>Percentage</t>
        </is>
      </c>
    </row>
    <row r="56">
      <c r="A56" t="inlineStr">
        <is>
          <t>Can be prevented</t>
        </is>
      </c>
      <c r="B56" t="n">
        <v>151</v>
      </c>
      <c r="C56" s="4" t="n">
        <v>0.751</v>
      </c>
    </row>
    <row r="57">
      <c r="A57" t="inlineStr">
        <is>
          <t>Not sure</t>
        </is>
      </c>
      <c r="B57" t="n">
        <v>40</v>
      </c>
      <c r="C57" s="4" t="n">
        <v>0.199</v>
      </c>
    </row>
    <row r="58">
      <c r="A58" t="inlineStr">
        <is>
          <t>Cannot be prevented</t>
        </is>
      </c>
      <c r="B58" t="n">
        <v>10</v>
      </c>
      <c r="C58" s="4" t="n">
        <v>0.05</v>
      </c>
    </row>
    <row r="61">
      <c r="A61" s="2" t="inlineStr">
        <is>
          <t>Q22. HOW IS THALASSEMIA TRANSMITTED?</t>
        </is>
      </c>
    </row>
    <row r="62">
      <c r="A62" s="2" t="inlineStr">
        <is>
          <t>Response</t>
        </is>
      </c>
      <c r="B62" s="2" t="inlineStr">
        <is>
          <t>Frequency</t>
        </is>
      </c>
      <c r="C62" s="2" t="inlineStr">
        <is>
          <t>Percentage</t>
        </is>
      </c>
    </row>
    <row r="63">
      <c r="A63" t="inlineStr">
        <is>
          <t>From generation to generation (hereditary)</t>
        </is>
      </c>
      <c r="B63" t="n">
        <v>179</v>
      </c>
      <c r="C63" s="4" t="n">
        <v>0.891</v>
      </c>
    </row>
    <row r="64">
      <c r="A64" t="inlineStr">
        <is>
          <t>As a contagious disease</t>
        </is>
      </c>
      <c r="B64" t="n">
        <v>1</v>
      </c>
      <c r="C64" s="4" t="n">
        <v>0.005</v>
      </c>
    </row>
    <row r="65">
      <c r="A65" t="inlineStr">
        <is>
          <t>Don’t know</t>
        </is>
      </c>
      <c r="B65" t="n">
        <v>19</v>
      </c>
      <c r="C65" s="4" t="n">
        <v>0.095</v>
      </c>
    </row>
    <row r="66">
      <c r="A66" t="inlineStr">
        <is>
          <t>(Missing)</t>
        </is>
      </c>
      <c r="B66" t="n">
        <v>2</v>
      </c>
      <c r="C66" s="4" t="n">
        <v>0.01</v>
      </c>
    </row>
    <row r="69">
      <c r="A69" s="2" t="inlineStr">
        <is>
          <t>Q23. IS A THALASSEMIA CARRIER USUALLY SICK OR HEALTHY?</t>
        </is>
      </c>
    </row>
    <row r="70">
      <c r="A70" s="2" t="inlineStr">
        <is>
          <t>Response</t>
        </is>
      </c>
      <c r="B70" s="2" t="inlineStr">
        <is>
          <t>Frequency</t>
        </is>
      </c>
      <c r="C70" s="2" t="inlineStr">
        <is>
          <t>Percentage</t>
        </is>
      </c>
    </row>
    <row r="71">
      <c r="A71" t="inlineStr">
        <is>
          <t>Healthy</t>
        </is>
      </c>
      <c r="B71" t="n">
        <v>166</v>
      </c>
      <c r="C71" s="4" t="n">
        <v>0.826</v>
      </c>
    </row>
    <row r="72">
      <c r="A72" t="inlineStr">
        <is>
          <t>Don’t know</t>
        </is>
      </c>
      <c r="B72" t="n">
        <v>14</v>
      </c>
      <c r="C72" s="4" t="n">
        <v>0.07000000000000001</v>
      </c>
    </row>
    <row r="73">
      <c r="A73" t="inlineStr">
        <is>
          <t>Not healthy</t>
        </is>
      </c>
      <c r="B73" t="n">
        <v>20</v>
      </c>
      <c r="C73" s="4" t="n">
        <v>0.1</v>
      </c>
    </row>
    <row r="74">
      <c r="A74" t="inlineStr">
        <is>
          <t>(Missing)</t>
        </is>
      </c>
      <c r="B74" t="n">
        <v>1</v>
      </c>
      <c r="C74" s="4" t="n">
        <v>0.005</v>
      </c>
    </row>
    <row r="77">
      <c r="A77" s="2" t="inlineStr">
        <is>
          <t>Q24. A CHILD BORN FROM TWO THALASSEMIA CARRIERS WILL BE:</t>
        </is>
      </c>
    </row>
    <row r="78">
      <c r="A78" s="2" t="inlineStr">
        <is>
          <t>Response</t>
        </is>
      </c>
      <c r="B78" s="2" t="inlineStr">
        <is>
          <t>Frequency</t>
        </is>
      </c>
      <c r="C78" s="2" t="inlineStr">
        <is>
          <t>Percentage</t>
        </is>
      </c>
    </row>
    <row r="79">
      <c r="A79" t="inlineStr">
        <is>
          <t>Always affected by thalassemia</t>
        </is>
      </c>
      <c r="B79" t="n">
        <v>59</v>
      </c>
      <c r="C79" s="4" t="n">
        <v>0.294</v>
      </c>
    </row>
    <row r="80">
      <c r="A80" t="inlineStr">
        <is>
          <t>Has a chance to be affected (e.g., 25%)</t>
        </is>
      </c>
      <c r="B80" t="n">
        <v>121</v>
      </c>
      <c r="C80" s="4" t="n">
        <v>0.602</v>
      </c>
    </row>
    <row r="81">
      <c r="A81" t="inlineStr">
        <is>
          <t>Don’t know</t>
        </is>
      </c>
      <c r="B81" t="n">
        <v>16</v>
      </c>
      <c r="C81" s="4" t="n">
        <v>0.08</v>
      </c>
    </row>
    <row r="82">
      <c r="A82" t="inlineStr">
        <is>
          <t>Always healthy</t>
        </is>
      </c>
      <c r="B82" t="n">
        <v>4</v>
      </c>
      <c r="C82" s="4" t="n">
        <v>0.02</v>
      </c>
    </row>
    <row r="83">
      <c r="A83" t="inlineStr">
        <is>
          <t>(Missing)</t>
        </is>
      </c>
      <c r="B83" t="n">
        <v>1</v>
      </c>
      <c r="C83" s="4" t="n">
        <v>0.005</v>
      </c>
    </row>
    <row r="86">
      <c r="A86" s="2" t="inlineStr">
        <is>
          <t>Q25. AFTER DIAGNOSIS, WAS COUNSELING/INFORMATION SUFFICIENT?</t>
        </is>
      </c>
    </row>
    <row r="87">
      <c r="A87" s="2" t="inlineStr">
        <is>
          <t>Response</t>
        </is>
      </c>
      <c r="B87" s="2" t="inlineStr">
        <is>
          <t>Frequency</t>
        </is>
      </c>
      <c r="C87" s="2" t="inlineStr">
        <is>
          <t>Percentage</t>
        </is>
      </c>
    </row>
    <row r="88">
      <c r="A88" t="inlineStr">
        <is>
          <t>Yes</t>
        </is>
      </c>
      <c r="B88" t="n">
        <v>136</v>
      </c>
      <c r="C88" s="4" t="n">
        <v>0.677</v>
      </c>
    </row>
    <row r="89">
      <c r="A89" t="inlineStr">
        <is>
          <t>No</t>
        </is>
      </c>
      <c r="B89" t="n">
        <v>58</v>
      </c>
      <c r="C89" s="4" t="n">
        <v>0.289</v>
      </c>
    </row>
    <row r="90">
      <c r="A90" t="inlineStr">
        <is>
          <t>(Missing)</t>
        </is>
      </c>
      <c r="B90" t="n">
        <v>7</v>
      </c>
      <c r="C90" s="4" t="n">
        <v>0.035</v>
      </c>
    </row>
    <row r="93">
      <c r="A93" s="2" t="inlineStr">
        <is>
          <t>Q26. HOW MANY THALASSEMIA BIRTHS OCCUR IN SRI LANKA PER YEAR?</t>
        </is>
      </c>
    </row>
    <row r="94">
      <c r="A94" s="2" t="inlineStr">
        <is>
          <t>Response</t>
        </is>
      </c>
      <c r="B94" s="2" t="inlineStr">
        <is>
          <t>Frequency</t>
        </is>
      </c>
      <c r="C94" s="2" t="inlineStr">
        <is>
          <t>Percentage</t>
        </is>
      </c>
    </row>
    <row r="95">
      <c r="A95" t="inlineStr">
        <is>
          <t>Don’t know</t>
        </is>
      </c>
      <c r="B95" t="n">
        <v>190</v>
      </c>
      <c r="C95" s="4" t="n">
        <v>0.945</v>
      </c>
    </row>
    <row r="96">
      <c r="A96" t="inlineStr">
        <is>
          <t>Much less than this (&lt;40)</t>
        </is>
      </c>
      <c r="B96" t="n">
        <v>2</v>
      </c>
      <c r="C96" s="4" t="n">
        <v>0.01</v>
      </c>
    </row>
    <row r="97">
      <c r="A97" t="inlineStr">
        <is>
          <t>More than this (&gt;100)</t>
        </is>
      </c>
      <c r="B97" t="n">
        <v>1</v>
      </c>
      <c r="C97" s="4" t="n">
        <v>0.005</v>
      </c>
    </row>
    <row r="98">
      <c r="A98" t="inlineStr">
        <is>
          <t>40–100</t>
        </is>
      </c>
      <c r="B98" t="n">
        <v>8</v>
      </c>
      <c r="C98" s="4" t="n">
        <v>0.04</v>
      </c>
    </row>
    <row r="100">
      <c r="A100" s="2" t="inlineStr">
        <is>
          <t>Q27. PROBLEMS FACED BY THALASSEMIA MAJOR PATIENTS (Multi-select)</t>
        </is>
      </c>
    </row>
    <row r="101">
      <c r="A101" s="2" t="inlineStr">
        <is>
          <t>Problem</t>
        </is>
      </c>
      <c r="B101" s="2" t="inlineStr">
        <is>
          <t>Selected (n)</t>
        </is>
      </c>
      <c r="C101" s="2" t="inlineStr">
        <is>
          <t>Percentage</t>
        </is>
      </c>
    </row>
    <row r="102">
      <c r="A102" t="inlineStr">
        <is>
          <t>Regular blood transfusions for life</t>
        </is>
      </c>
      <c r="B102" t="n">
        <v>169</v>
      </c>
      <c r="C102" s="4" t="n">
        <v>0.841</v>
      </c>
    </row>
    <row r="103">
      <c r="A103" t="inlineStr">
        <is>
          <t>Iron overload affecting heart and liver</t>
        </is>
      </c>
      <c r="B103" t="n">
        <v>53</v>
      </c>
      <c r="C103" s="4" t="n">
        <v>0.264</v>
      </c>
    </row>
    <row r="104">
      <c r="A104" t="inlineStr">
        <is>
          <t>Delayed growth and puberty</t>
        </is>
      </c>
      <c r="B104" t="n">
        <v>48</v>
      </c>
      <c r="C104" s="4" t="n">
        <v>0.239</v>
      </c>
    </row>
    <row r="105">
      <c r="A105" t="inlineStr">
        <is>
          <t>Risk of diabetes, infertility, and hormonal issues</t>
        </is>
      </c>
      <c r="B105" t="n">
        <v>15</v>
      </c>
      <c r="C105" s="4" t="n">
        <v>0.075</v>
      </c>
    </row>
    <row r="106">
      <c r="A106" t="inlineStr">
        <is>
          <t>Risk of infections from transfusions</t>
        </is>
      </c>
      <c r="B106" t="n">
        <v>39</v>
      </c>
      <c r="C106" s="4" t="n">
        <v>0.194</v>
      </c>
    </row>
    <row r="107">
      <c r="A107" t="inlineStr">
        <is>
          <t>Frequent nosebleeds</t>
        </is>
      </c>
      <c r="B107" t="n">
        <v>29</v>
      </c>
      <c r="C107" s="4" t="n">
        <v>0.144</v>
      </c>
    </row>
    <row r="108">
      <c r="A108" t="inlineStr">
        <is>
          <t>Fatigue</t>
        </is>
      </c>
      <c r="B108" t="n">
        <v>64</v>
      </c>
      <c r="C108" s="4" t="n">
        <v>0.318</v>
      </c>
    </row>
    <row r="109">
      <c r="A109" t="inlineStr">
        <is>
          <t>Bone deformities</t>
        </is>
      </c>
      <c r="B109" t="n">
        <v>41</v>
      </c>
      <c r="C109" s="4" t="n">
        <v>0.204</v>
      </c>
    </row>
    <row r="112">
      <c r="A112" s="2" t="inlineStr">
        <is>
          <t>Q28. WHAT SHOULD A CARRIER DO AFTER DIAGNOSIS? (Multi-select)</t>
        </is>
      </c>
    </row>
    <row r="113">
      <c r="A113" s="2" t="inlineStr">
        <is>
          <t>Action</t>
        </is>
      </c>
      <c r="B113" s="2" t="inlineStr">
        <is>
          <t>Selected (n)</t>
        </is>
      </c>
      <c r="C113" s="2" t="inlineStr">
        <is>
          <t>Percentage</t>
        </is>
      </c>
    </row>
    <row r="114">
      <c r="A114" t="inlineStr">
        <is>
          <t>Get the partner tested before marriage</t>
        </is>
      </c>
      <c r="B114" t="n">
        <v>159</v>
      </c>
      <c r="C114" s="4" t="n">
        <v>0.791</v>
      </c>
    </row>
    <row r="115">
      <c r="A115" t="inlineStr">
        <is>
          <t>Get family members tested</t>
        </is>
      </c>
      <c r="B115" t="n">
        <v>158</v>
      </c>
      <c r="C115" s="4" t="n">
        <v>0.786</v>
      </c>
    </row>
    <row r="116">
      <c r="A116" t="inlineStr">
        <is>
          <t>Ignore it</t>
        </is>
      </c>
      <c r="B116" t="n">
        <v>0</v>
      </c>
      <c r="C116" s="4" t="n">
        <v>0</v>
      </c>
    </row>
    <row r="119">
      <c r="A119" s="2" t="inlineStr">
        <is>
          <t>Q29. HOW DID YOU LEARN ABOUT THALASSEMIA?</t>
        </is>
      </c>
    </row>
    <row r="120">
      <c r="A120" s="2" t="inlineStr">
        <is>
          <t>Source</t>
        </is>
      </c>
      <c r="B120" s="2" t="inlineStr">
        <is>
          <t>Frequency</t>
        </is>
      </c>
      <c r="C120" s="2" t="inlineStr">
        <is>
          <t>Percentage</t>
        </is>
      </c>
    </row>
    <row r="121">
      <c r="A121" t="inlineStr">
        <is>
          <t>Healthcare staff (doctors and nurses)</t>
        </is>
      </c>
      <c r="B121" t="n">
        <v>35</v>
      </c>
      <c r="C121" s="4" t="n">
        <v>0.174</v>
      </c>
    </row>
    <row r="122">
      <c r="A122" t="inlineStr">
        <is>
          <t>Only found out after screening</t>
        </is>
      </c>
      <c r="B122" t="n">
        <v>84</v>
      </c>
      <c r="C122" s="4" t="n">
        <v>0.418</v>
      </c>
    </row>
    <row r="123">
      <c r="A123" t="inlineStr">
        <is>
          <t>School</t>
        </is>
      </c>
      <c r="B123" t="n">
        <v>58</v>
      </c>
      <c r="C123" s="4" t="n">
        <v>0.289</v>
      </c>
    </row>
    <row r="124">
      <c r="A124" t="inlineStr">
        <is>
          <t>Mass media (TV, newspapers, social media)</t>
        </is>
      </c>
      <c r="B124" t="n">
        <v>7</v>
      </c>
      <c r="C124" s="4" t="n">
        <v>0.035</v>
      </c>
    </row>
    <row r="125">
      <c r="A125" t="inlineStr">
        <is>
          <t>Family</t>
        </is>
      </c>
      <c r="B125" t="n">
        <v>17</v>
      </c>
      <c r="C125" s="4" t="n">
        <v>0.08500000000000001</v>
      </c>
    </row>
  </sheetData>
  <pageMargins left="0.7" right="0.7" top="0.75" bottom="0.75" header="0.3" footer="0.3"/>
  <pageSetup orientation="portrait" scale="27"/>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C50"/>
  <sheetViews>
    <sheetView topLeftCell="A48" workbookViewId="0">
      <selection activeCell="A1" sqref="A1"/>
    </sheetView>
  </sheetViews>
  <sheetFormatPr baseColWidth="8" defaultRowHeight="14.45"/>
  <cols>
    <col width="83.85546875" bestFit="1" customWidth="1" style="61" min="1" max="1"/>
    <col width="10.42578125" bestFit="1" customWidth="1" style="61" min="2" max="2"/>
    <col width="11.140625" bestFit="1" customWidth="1" style="61" min="3" max="3"/>
  </cols>
  <sheetData>
    <row r="1" ht="18" customHeight="1" s="61">
      <c r="A1" s="3" t="inlineStr">
        <is>
          <t>SECTION C: ATTITUDES &amp; PRACTICES — MARRIAGE/PARTNER (Q30-Q34)</t>
        </is>
      </c>
    </row>
    <row r="3">
      <c r="A3" t="inlineStr">
        <is>
          <t>Total Responses:</t>
        </is>
      </c>
      <c r="B3" t="n">
        <v>201</v>
      </c>
    </row>
    <row r="5">
      <c r="A5" s="2" t="inlineStr">
        <is>
          <t>Q30. ARE YOU WILLING TO / DO YOU HAVE A CONSANGUINEOUS MARRIAGE?</t>
        </is>
      </c>
    </row>
    <row r="6">
      <c r="A6" s="2" t="inlineStr">
        <is>
          <t>Response</t>
        </is>
      </c>
      <c r="B6" s="2" t="inlineStr">
        <is>
          <t>Frequency</t>
        </is>
      </c>
      <c r="C6" s="2" t="inlineStr">
        <is>
          <t>Percentage</t>
        </is>
      </c>
    </row>
    <row r="7">
      <c r="A7" t="inlineStr">
        <is>
          <t>Definitely not</t>
        </is>
      </c>
      <c r="B7" t="n">
        <v>160</v>
      </c>
      <c r="C7" s="4" t="n">
        <v>0.796</v>
      </c>
    </row>
    <row r="8">
      <c r="A8" t="inlineStr">
        <is>
          <t>Yes I am willing</t>
        </is>
      </c>
      <c r="B8" t="n">
        <v>3</v>
      </c>
      <c r="C8" s="4" t="n">
        <v>0.015</v>
      </c>
    </row>
    <row r="9">
      <c r="A9" t="inlineStr">
        <is>
          <t>Not sure</t>
        </is>
      </c>
      <c r="B9" t="n">
        <v>35</v>
      </c>
      <c r="C9" s="4" t="n">
        <v>0.174</v>
      </c>
    </row>
    <row r="10">
      <c r="A10" t="inlineStr">
        <is>
          <t>Yes I have</t>
        </is>
      </c>
      <c r="B10" t="n">
        <v>2</v>
      </c>
      <c r="C10" s="4" t="n">
        <v>0.01</v>
      </c>
    </row>
    <row r="11">
      <c r="A11" t="inlineStr">
        <is>
          <t>(Missing)</t>
        </is>
      </c>
      <c r="B11" t="n">
        <v>1</v>
      </c>
      <c r="C11" s="4" t="n">
        <v>0.005</v>
      </c>
    </row>
    <row r="14">
      <c r="A14" s="2" t="inlineStr">
        <is>
          <t>Q31. DO YOU ACCEPT MARRIAGE BETWEEN TWO THALASSEMIA CARRIERS?</t>
        </is>
      </c>
    </row>
    <row r="15">
      <c r="A15" s="2" t="inlineStr">
        <is>
          <t>Response</t>
        </is>
      </c>
      <c r="B15" s="2" t="inlineStr">
        <is>
          <t>Frequency</t>
        </is>
      </c>
      <c r="C15" s="2" t="inlineStr">
        <is>
          <t>Percentage</t>
        </is>
      </c>
    </row>
    <row r="16">
      <c r="A16" t="inlineStr">
        <is>
          <t>No</t>
        </is>
      </c>
      <c r="B16" t="n">
        <v>155</v>
      </c>
      <c r="C16" s="4" t="n">
        <v>0.771</v>
      </c>
    </row>
    <row r="17">
      <c r="A17" t="inlineStr">
        <is>
          <t>Yes</t>
        </is>
      </c>
      <c r="B17" t="n">
        <v>10</v>
      </c>
      <c r="C17" s="4" t="n">
        <v>0.05</v>
      </c>
    </row>
    <row r="18">
      <c r="A18" t="inlineStr">
        <is>
          <t>Not sure</t>
        </is>
      </c>
      <c r="B18" t="n">
        <v>33</v>
      </c>
      <c r="C18" s="4" t="n">
        <v>0.164</v>
      </c>
    </row>
    <row r="19">
      <c r="A19" t="inlineStr">
        <is>
          <t>(Missing)</t>
        </is>
      </c>
      <c r="B19" t="n">
        <v>3</v>
      </c>
      <c r="C19" s="4" t="n">
        <v>0.015</v>
      </c>
    </row>
    <row r="22">
      <c r="A22" s="2" t="inlineStr">
        <is>
          <t>Q32. HOW IMPORTANT IS THALASSEMIA SCREENING BEFORE MARRIAGE?</t>
        </is>
      </c>
    </row>
    <row r="23">
      <c r="A23" s="2" t="inlineStr">
        <is>
          <t>Response</t>
        </is>
      </c>
      <c r="B23" s="2" t="inlineStr">
        <is>
          <t>Frequency</t>
        </is>
      </c>
      <c r="C23" s="2" t="inlineStr">
        <is>
          <t>Percentage</t>
        </is>
      </c>
    </row>
    <row r="24">
      <c r="A24" t="inlineStr">
        <is>
          <t>Very important</t>
        </is>
      </c>
      <c r="B24" t="n">
        <v>135</v>
      </c>
      <c r="C24" s="4" t="n">
        <v>0.672</v>
      </c>
    </row>
    <row r="25">
      <c r="A25" t="inlineStr">
        <is>
          <t>Important</t>
        </is>
      </c>
      <c r="B25" t="n">
        <v>47</v>
      </c>
      <c r="C25" s="4" t="n">
        <v>0.234</v>
      </c>
    </row>
    <row r="26">
      <c r="A26" t="inlineStr">
        <is>
          <t>Not sure</t>
        </is>
      </c>
      <c r="B26" t="n">
        <v>13</v>
      </c>
      <c r="C26" s="4" t="n">
        <v>0.065</v>
      </c>
    </row>
    <row r="27">
      <c r="A27" t="inlineStr">
        <is>
          <t>(Missing)</t>
        </is>
      </c>
      <c r="B27" t="n">
        <v>2</v>
      </c>
      <c r="C27" s="4" t="n">
        <v>0.01</v>
      </c>
    </row>
    <row r="28">
      <c r="A28" t="inlineStr">
        <is>
          <t>Not important</t>
        </is>
      </c>
      <c r="B28" t="n">
        <v>4</v>
      </c>
      <c r="C28" s="4" t="n">
        <v>0.02</v>
      </c>
    </row>
    <row r="31">
      <c r="A31" s="2" t="inlineStr">
        <is>
          <t>Q33. WHAT WAS YOUR PRACTICE OF PARTNER SCREENING?</t>
        </is>
      </c>
    </row>
    <row r="32">
      <c r="A32" s="2" t="inlineStr">
        <is>
          <t>Response</t>
        </is>
      </c>
      <c r="B32" s="2" t="inlineStr">
        <is>
          <t>Frequency</t>
        </is>
      </c>
      <c r="C32" s="2" t="inlineStr">
        <is>
          <t>Percentage</t>
        </is>
      </c>
    </row>
    <row r="33">
      <c r="A33" t="inlineStr">
        <is>
          <t>(Missing)</t>
        </is>
      </c>
      <c r="B33" t="n">
        <v>76</v>
      </c>
      <c r="C33" s="4" t="n">
        <v>0.378</v>
      </c>
    </row>
    <row r="34">
      <c r="A34" t="inlineStr">
        <is>
          <t>Partner was screened before marriage</t>
        </is>
      </c>
      <c r="B34" t="n">
        <v>21</v>
      </c>
      <c r="C34" s="4" t="n">
        <v>0.104</v>
      </c>
    </row>
    <row r="35">
      <c r="A35" t="inlineStr">
        <is>
          <t>Did not disclose thalassemia carrier state to partner</t>
        </is>
      </c>
      <c r="B35" t="n">
        <v>2</v>
      </c>
      <c r="C35" s="4" t="n">
        <v>0.01</v>
      </c>
    </row>
    <row r="36">
      <c r="A36" t="inlineStr">
        <is>
          <t>Did not screen partner</t>
        </is>
      </c>
      <c r="B36" t="n">
        <v>26</v>
      </c>
      <c r="C36" s="4" t="n">
        <v>0.129</v>
      </c>
    </row>
    <row r="37">
      <c r="A37" t="inlineStr">
        <is>
          <t>Other</t>
        </is>
      </c>
      <c r="B37" t="n">
        <v>42</v>
      </c>
      <c r="C37" s="4" t="n">
        <v>0.209</v>
      </c>
    </row>
    <row r="38">
      <c r="A38" t="inlineStr">
        <is>
          <t>Partner was screened after marriage</t>
        </is>
      </c>
      <c r="B38" t="n">
        <v>33</v>
      </c>
      <c r="C38" s="4" t="n">
        <v>0.164</v>
      </c>
    </row>
    <row r="39">
      <c r="A39" t="inlineStr">
        <is>
          <t>Partner was screened during pregnancy</t>
        </is>
      </c>
      <c r="B39" t="n">
        <v>1</v>
      </c>
      <c r="C39" s="4" t="n">
        <v>0.005</v>
      </c>
    </row>
    <row r="42">
      <c r="A42" s="2" t="inlineStr">
        <is>
          <t>Q34. REASON FOR NOT DISCLOSING CARRIER STATUS BEFORE MARRIAGE</t>
        </is>
      </c>
    </row>
    <row r="43">
      <c r="A43" s="2" t="inlineStr">
        <is>
          <t>Response</t>
        </is>
      </c>
      <c r="B43" s="2" t="inlineStr">
        <is>
          <t>Frequency</t>
        </is>
      </c>
      <c r="C43" s="2" t="inlineStr">
        <is>
          <t>Percentage</t>
        </is>
      </c>
    </row>
    <row r="44">
      <c r="A44" t="inlineStr">
        <is>
          <t>(Missing)</t>
        </is>
      </c>
      <c r="B44" t="n">
        <v>134</v>
      </c>
      <c r="C44" s="4" t="n">
        <v>0.667</v>
      </c>
    </row>
    <row r="45">
      <c r="A45" t="inlineStr">
        <is>
          <t>Fear of rejection</t>
        </is>
      </c>
      <c r="B45" t="n">
        <v>3</v>
      </c>
      <c r="C45" s="4" t="n">
        <v>0.015</v>
      </c>
    </row>
    <row r="46">
      <c r="A46" t="inlineStr">
        <is>
          <t>Lack of understanding about its importance</t>
        </is>
      </c>
      <c r="B46" t="n">
        <v>7</v>
      </c>
      <c r="C46" s="4" t="n">
        <v>0.035</v>
      </c>
    </row>
    <row r="47">
      <c r="A47" t="inlineStr">
        <is>
          <t>Did not think it was necessary</t>
        </is>
      </c>
      <c r="B47" t="n">
        <v>9</v>
      </c>
      <c r="C47" s="4" t="n">
        <v>0.045</v>
      </c>
    </row>
    <row r="48">
      <c r="A48" t="inlineStr">
        <is>
          <t>Other</t>
        </is>
      </c>
      <c r="B48" t="n">
        <v>46</v>
      </c>
      <c r="C48" s="4" t="n">
        <v>0.229</v>
      </c>
    </row>
    <row r="49">
      <c r="A49" t="inlineStr">
        <is>
          <t>Concern about causing worry or stress</t>
        </is>
      </c>
      <c r="B49" t="n">
        <v>1</v>
      </c>
      <c r="C49" s="4" t="n">
        <v>0.005</v>
      </c>
    </row>
    <row r="50">
      <c r="A50" t="inlineStr">
        <is>
          <t>Cultural or family pressure</t>
        </is>
      </c>
      <c r="B50" t="n">
        <v>1</v>
      </c>
      <c r="C50" s="4" t="n">
        <v>0.005</v>
      </c>
    </row>
  </sheetData>
  <pageMargins left="0.7" right="0.7" top="0.75" bottom="0.75" header="0.3" footer="0.3"/>
  <pageSetup orientation="portrait" scale="34"/>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C71"/>
  <sheetViews>
    <sheetView workbookViewId="0">
      <selection activeCell="A11" sqref="A11"/>
    </sheetView>
  </sheetViews>
  <sheetFormatPr baseColWidth="8" defaultRowHeight="14.45"/>
  <cols>
    <col width="81.7109375" bestFit="1" customWidth="1" style="61" min="1" max="1"/>
    <col width="11.7109375" bestFit="1" customWidth="1" style="61" min="2" max="2"/>
    <col width="11.140625" bestFit="1" customWidth="1" style="61" min="3" max="3"/>
  </cols>
  <sheetData>
    <row r="1" ht="18" customHeight="1" s="61">
      <c r="A1" s="3" t="inlineStr">
        <is>
          <t>SECTION D: ATTITUDES &amp; PRACTICES — FAMILY SCREENING (Q35-Q40)</t>
        </is>
      </c>
    </row>
    <row r="3">
      <c r="A3" t="inlineStr">
        <is>
          <t>Total Responses:</t>
        </is>
      </c>
      <c r="B3" t="n">
        <v>201</v>
      </c>
    </row>
    <row r="5">
      <c r="A5" s="2" t="inlineStr">
        <is>
          <t>Q35. IS IT IMPORTANT FOR FAMILY MEMBERS TO UNDERGO SCREENING?</t>
        </is>
      </c>
    </row>
    <row r="6">
      <c r="A6" s="2" t="inlineStr">
        <is>
          <t>Response</t>
        </is>
      </c>
      <c r="B6" s="2" t="inlineStr">
        <is>
          <t>Frequency</t>
        </is>
      </c>
      <c r="C6" s="2" t="inlineStr">
        <is>
          <t>Percentage</t>
        </is>
      </c>
    </row>
    <row r="7">
      <c r="A7" t="inlineStr">
        <is>
          <t>Agree</t>
        </is>
      </c>
      <c r="B7" t="n">
        <v>191</v>
      </c>
      <c r="C7" s="4" t="n">
        <v>0.95</v>
      </c>
    </row>
    <row r="8">
      <c r="A8" t="inlineStr">
        <is>
          <t>Disagree</t>
        </is>
      </c>
      <c r="B8" t="n">
        <v>4</v>
      </c>
      <c r="C8" s="4" t="n">
        <v>0.02</v>
      </c>
    </row>
    <row r="9">
      <c r="A9" t="inlineStr">
        <is>
          <t>Don’t know</t>
        </is>
      </c>
      <c r="B9" t="n">
        <v>5</v>
      </c>
      <c r="C9" s="4" t="n">
        <v>0.025</v>
      </c>
    </row>
    <row r="10">
      <c r="A10" t="inlineStr">
        <is>
          <t>(Missing)</t>
        </is>
      </c>
      <c r="B10" t="n">
        <v>1</v>
      </c>
      <c r="C10" s="4" t="n">
        <v>0.005</v>
      </c>
    </row>
    <row r="13">
      <c r="A13" s="2" t="inlineStr">
        <is>
          <t>Q36. DO YOUR FAMILY MEMBERS KNOW YOUR THALASSEMIA STATUS?</t>
        </is>
      </c>
    </row>
    <row r="14">
      <c r="A14" s="2" t="inlineStr">
        <is>
          <t>Response</t>
        </is>
      </c>
      <c r="B14" s="2" t="inlineStr">
        <is>
          <t>Frequency</t>
        </is>
      </c>
      <c r="C14" s="2" t="inlineStr">
        <is>
          <t>Percentage</t>
        </is>
      </c>
    </row>
    <row r="15">
      <c r="A15" t="inlineStr">
        <is>
          <t>Yes</t>
        </is>
      </c>
      <c r="B15" t="n">
        <v>182</v>
      </c>
      <c r="C15" s="4" t="n">
        <v>0.905</v>
      </c>
    </row>
    <row r="16">
      <c r="A16" t="inlineStr">
        <is>
          <t>No</t>
        </is>
      </c>
      <c r="B16" t="n">
        <v>15</v>
      </c>
      <c r="C16" s="4" t="n">
        <v>0.075</v>
      </c>
    </row>
    <row r="17">
      <c r="A17" t="inlineStr">
        <is>
          <t>(Missing)</t>
        </is>
      </c>
      <c r="B17" t="n">
        <v>4</v>
      </c>
      <c r="C17" s="4" t="n">
        <v>0.02</v>
      </c>
    </row>
    <row r="20">
      <c r="A20" s="2" t="inlineStr">
        <is>
          <t>Q37a. SCREENING EXTENT - FIRST-DEGREE RELATIVES</t>
        </is>
      </c>
    </row>
    <row r="21">
      <c r="A21" s="2" t="inlineStr">
        <is>
          <t>Response</t>
        </is>
      </c>
      <c r="B21" s="2" t="inlineStr">
        <is>
          <t>Frequency</t>
        </is>
      </c>
      <c r="C21" s="2" t="inlineStr">
        <is>
          <t>Percentage</t>
        </is>
      </c>
    </row>
    <row r="22">
      <c r="A22" t="inlineStr">
        <is>
          <t>Some</t>
        </is>
      </c>
      <c r="B22" t="n">
        <v>70</v>
      </c>
      <c r="C22" s="4" t="n">
        <v>0.348</v>
      </c>
    </row>
    <row r="23">
      <c r="A23" t="inlineStr">
        <is>
          <t>All</t>
        </is>
      </c>
      <c r="B23" t="n">
        <v>80</v>
      </c>
      <c r="C23" s="4" t="n">
        <v>0.398</v>
      </c>
    </row>
    <row r="24">
      <c r="A24" t="inlineStr">
        <is>
          <t>Don't know</t>
        </is>
      </c>
      <c r="B24" t="n">
        <v>6</v>
      </c>
      <c r="C24" s="4" t="n">
        <v>0.03</v>
      </c>
    </row>
    <row r="25">
      <c r="A25" t="inlineStr">
        <is>
          <t>None</t>
        </is>
      </c>
      <c r="B25" t="n">
        <v>45</v>
      </c>
      <c r="C25" s="4" t="n">
        <v>0.224</v>
      </c>
    </row>
    <row r="28">
      <c r="A28" s="2" t="inlineStr">
        <is>
          <t>Q37b. SCREENING EXTENT - SECOND-DEGREE RELATIVES</t>
        </is>
      </c>
    </row>
    <row r="29">
      <c r="A29" s="2" t="inlineStr">
        <is>
          <t>Response</t>
        </is>
      </c>
      <c r="B29" s="2" t="inlineStr">
        <is>
          <t>Frequency</t>
        </is>
      </c>
      <c r="C29" s="2" t="inlineStr">
        <is>
          <t>Percentage</t>
        </is>
      </c>
    </row>
    <row r="30">
      <c r="A30" t="inlineStr">
        <is>
          <t>None</t>
        </is>
      </c>
      <c r="B30" t="n">
        <v>109</v>
      </c>
      <c r="C30" s="4" t="n">
        <v>0.542</v>
      </c>
    </row>
    <row r="31">
      <c r="A31" t="inlineStr">
        <is>
          <t>(Missing)</t>
        </is>
      </c>
      <c r="B31" t="n">
        <v>6</v>
      </c>
      <c r="C31" s="4" t="n">
        <v>0.03</v>
      </c>
    </row>
    <row r="32">
      <c r="A32" t="inlineStr">
        <is>
          <t>Don't know</t>
        </is>
      </c>
      <c r="B32" t="n">
        <v>35</v>
      </c>
      <c r="C32" s="4" t="n">
        <v>0.174</v>
      </c>
    </row>
    <row r="33">
      <c r="A33" t="inlineStr">
        <is>
          <t>Some</t>
        </is>
      </c>
      <c r="B33" t="n">
        <v>41</v>
      </c>
      <c r="C33" s="4" t="n">
        <v>0.204</v>
      </c>
    </row>
    <row r="34">
      <c r="A34" t="inlineStr">
        <is>
          <t>All</t>
        </is>
      </c>
      <c r="B34" t="n">
        <v>10</v>
      </c>
      <c r="C34" s="4" t="n">
        <v>0.05</v>
      </c>
    </row>
    <row r="37">
      <c r="A37" s="2" t="inlineStr">
        <is>
          <t>Q37c. SCREENING EXTENT - THIRD-DEGREE RELATIVES</t>
        </is>
      </c>
    </row>
    <row r="38">
      <c r="A38" s="2" t="inlineStr">
        <is>
          <t>Response</t>
        </is>
      </c>
      <c r="B38" s="2" t="inlineStr">
        <is>
          <t>Frequency</t>
        </is>
      </c>
      <c r="C38" s="2" t="inlineStr">
        <is>
          <t>Percentage</t>
        </is>
      </c>
    </row>
    <row r="39">
      <c r="A39" t="inlineStr">
        <is>
          <t>None</t>
        </is>
      </c>
      <c r="B39" t="n">
        <v>105</v>
      </c>
      <c r="C39" s="4" t="n">
        <v>0.522</v>
      </c>
    </row>
    <row r="40">
      <c r="A40" t="inlineStr">
        <is>
          <t>(Missing)</t>
        </is>
      </c>
      <c r="B40" t="n">
        <v>9</v>
      </c>
      <c r="C40" s="4" t="n">
        <v>0.045</v>
      </c>
    </row>
    <row r="41">
      <c r="A41" t="inlineStr">
        <is>
          <t>Don't know</t>
        </is>
      </c>
      <c r="B41" t="n">
        <v>73</v>
      </c>
      <c r="C41" s="4" t="n">
        <v>0.363</v>
      </c>
    </row>
    <row r="42">
      <c r="A42" t="inlineStr">
        <is>
          <t>All</t>
        </is>
      </c>
      <c r="B42" t="n">
        <v>5</v>
      </c>
      <c r="C42" s="4" t="n">
        <v>0.025</v>
      </c>
    </row>
    <row r="43">
      <c r="A43" t="inlineStr">
        <is>
          <t>Some</t>
        </is>
      </c>
      <c r="B43" t="n">
        <v>9</v>
      </c>
      <c r="C43" s="4" t="n">
        <v>0.045</v>
      </c>
    </row>
    <row r="46">
      <c r="A46" s="2" t="inlineStr">
        <is>
          <t>Q38. REASONS FOR NOT SCREENING (Multi-select)</t>
        </is>
      </c>
    </row>
    <row r="47">
      <c r="A47" s="2" t="inlineStr">
        <is>
          <t>Reason</t>
        </is>
      </c>
      <c r="B47" s="2" t="inlineStr">
        <is>
          <t>Selected (n)</t>
        </is>
      </c>
      <c r="C47" s="2" t="inlineStr">
        <is>
          <t>Percentage</t>
        </is>
      </c>
    </row>
    <row r="48">
      <c r="A48" t="inlineStr">
        <is>
          <t>Lack of knowledge</t>
        </is>
      </c>
      <c r="B48" t="n">
        <v>98</v>
      </c>
      <c r="C48" s="4" t="n">
        <v>0.488</v>
      </c>
    </row>
    <row r="49">
      <c r="A49" t="inlineStr">
        <is>
          <t>Concern about stigma or discrimination</t>
        </is>
      </c>
      <c r="B49" t="n">
        <v>21</v>
      </c>
      <c r="C49" s="4" t="n">
        <v>0.104</v>
      </c>
    </row>
    <row r="50">
      <c r="A50" t="inlineStr">
        <is>
          <t>Fear of result</t>
        </is>
      </c>
      <c r="B50" t="n">
        <v>7</v>
      </c>
      <c r="C50" s="4" t="n">
        <v>0.035</v>
      </c>
    </row>
    <row r="51">
      <c r="A51" t="inlineStr">
        <is>
          <t>Perception that screening was unnecessary</t>
        </is>
      </c>
      <c r="B51" t="n">
        <v>51</v>
      </c>
      <c r="C51" s="4" t="n">
        <v>0.254</v>
      </c>
    </row>
    <row r="52">
      <c r="A52" t="inlineStr">
        <is>
          <t>Cost or access issues</t>
        </is>
      </c>
      <c r="B52" t="n">
        <v>14</v>
      </c>
      <c r="C52" s="4" t="n">
        <v>0.07000000000000001</v>
      </c>
    </row>
    <row r="53">
      <c r="A53" t="inlineStr">
        <is>
          <t>Other</t>
        </is>
      </c>
      <c r="B53" t="n">
        <v>8</v>
      </c>
      <c r="C53" s="4" t="n">
        <v>0.04</v>
      </c>
    </row>
    <row r="56">
      <c r="A56" s="2" t="inlineStr">
        <is>
          <t>Q39. HOW EASY IS IT TO CONVINCE RELATIVES TO UNDERGO SCREENING?</t>
        </is>
      </c>
    </row>
    <row r="57">
      <c r="A57" s="2" t="inlineStr">
        <is>
          <t>Response</t>
        </is>
      </c>
      <c r="B57" s="2" t="inlineStr">
        <is>
          <t>Frequency</t>
        </is>
      </c>
      <c r="C57" s="2" t="inlineStr">
        <is>
          <t>Percentage</t>
        </is>
      </c>
    </row>
    <row r="58">
      <c r="A58" t="inlineStr">
        <is>
          <t>Somewhat easy</t>
        </is>
      </c>
      <c r="B58" t="n">
        <v>93</v>
      </c>
      <c r="C58" s="4" t="n">
        <v>0.463</v>
      </c>
    </row>
    <row r="59">
      <c r="A59" t="inlineStr">
        <is>
          <t>Not sure</t>
        </is>
      </c>
      <c r="B59" t="n">
        <v>33</v>
      </c>
      <c r="C59" s="4" t="n">
        <v>0.164</v>
      </c>
    </row>
    <row r="60">
      <c r="A60" t="inlineStr">
        <is>
          <t>Difficult</t>
        </is>
      </c>
      <c r="B60" t="n">
        <v>38</v>
      </c>
      <c r="C60" s="4" t="n">
        <v>0.189</v>
      </c>
    </row>
    <row r="61">
      <c r="A61" t="inlineStr">
        <is>
          <t>Very easy</t>
        </is>
      </c>
      <c r="B61" t="n">
        <v>29</v>
      </c>
      <c r="C61" s="4" t="n">
        <v>0.144</v>
      </c>
    </row>
    <row r="62">
      <c r="A62" t="inlineStr">
        <is>
          <t>(Missing)</t>
        </is>
      </c>
      <c r="B62" t="n">
        <v>8</v>
      </c>
      <c r="C62" s="4" t="n">
        <v>0.04</v>
      </c>
    </row>
    <row r="65">
      <c r="A65" s="2" t="inlineStr">
        <is>
          <t>Q40. HOW IMPORTANT IS CASCADE SCREENING IN THALASSEMIA PREVENTION?</t>
        </is>
      </c>
    </row>
    <row r="66">
      <c r="A66" s="2" t="inlineStr">
        <is>
          <t>Response</t>
        </is>
      </c>
      <c r="B66" s="2" t="inlineStr">
        <is>
          <t>Frequency</t>
        </is>
      </c>
      <c r="C66" s="2" t="inlineStr">
        <is>
          <t>Percentage</t>
        </is>
      </c>
    </row>
    <row r="67">
      <c r="A67" t="inlineStr">
        <is>
          <t>Very important</t>
        </is>
      </c>
      <c r="B67" t="n">
        <v>118</v>
      </c>
      <c r="C67" s="4" t="n">
        <v>0.587</v>
      </c>
    </row>
    <row r="68">
      <c r="A68" t="inlineStr">
        <is>
          <t>Important</t>
        </is>
      </c>
      <c r="B68" t="n">
        <v>70</v>
      </c>
      <c r="C68" s="4" t="n">
        <v>0.348</v>
      </c>
    </row>
    <row r="69">
      <c r="A69" t="inlineStr">
        <is>
          <t>Not important</t>
        </is>
      </c>
      <c r="B69" t="n">
        <v>2</v>
      </c>
      <c r="C69" s="4" t="n">
        <v>0.01</v>
      </c>
    </row>
    <row r="70">
      <c r="A70" t="inlineStr">
        <is>
          <t>Slightly important</t>
        </is>
      </c>
      <c r="B70" t="n">
        <v>8</v>
      </c>
      <c r="C70" s="4" t="n">
        <v>0.04</v>
      </c>
    </row>
    <row r="71">
      <c r="A71" t="inlineStr">
        <is>
          <t>(Missing)</t>
        </is>
      </c>
      <c r="B71" t="n">
        <v>3</v>
      </c>
      <c r="C71" s="4" t="n">
        <v>0.015</v>
      </c>
    </row>
  </sheetData>
  <pageMargins left="0.7" right="0.7" top="0.75" bottom="0.75" header="0.3" footer="0.3"/>
  <pageSetup orientation="portrait" scale="34"/>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14"/>
  <sheetViews>
    <sheetView topLeftCell="A297" workbookViewId="0">
      <selection activeCell="A285" sqref="A285"/>
    </sheetView>
  </sheetViews>
  <sheetFormatPr baseColWidth="8" defaultRowHeight="14.45"/>
  <cols>
    <col width="37" customWidth="1" style="61" min="1" max="1"/>
    <col width="46.28515625" customWidth="1" style="61" min="2" max="2"/>
    <col width="18.5703125" customWidth="1" style="61" min="3" max="5"/>
    <col width="25.85546875" customWidth="1" style="61" min="6" max="6"/>
    <col width="18.5703125" customWidth="1" style="61" min="7" max="8"/>
  </cols>
  <sheetData>
    <row r="1" ht="18" customHeight="1" s="61">
      <c r="A1" s="3" t="inlineStr">
        <is>
          <t>CHI-SQUARE ANALYSIS - STATISTICAL CORRELATIONS</t>
        </is>
      </c>
    </row>
    <row r="3">
      <c r="A3" t="inlineStr">
        <is>
          <t>This sheet contains chi-square contingency tables to analyze relationships between variables.</t>
        </is>
      </c>
    </row>
    <row r="4">
      <c r="A4" t="inlineStr">
        <is>
          <t>Chi-square tests examine whether there is a statistically significant association between categorical variables.</t>
        </is>
      </c>
    </row>
    <row r="7">
      <c r="A7" s="5" t="inlineStr">
        <is>
          <t>ANALYSIS 1: Gender vs Q15 (Thalassemia is blood disease)</t>
        </is>
      </c>
    </row>
    <row r="9">
      <c r="A9" s="2" t="inlineStr">
        <is>
          <t>OBSERVED FREQUENCIES</t>
        </is>
      </c>
    </row>
    <row r="10">
      <c r="A10" s="6" t="n"/>
      <c r="B10" s="6" t="inlineStr">
        <is>
          <t>Don’t know</t>
        </is>
      </c>
      <c r="C10" s="6" t="inlineStr">
        <is>
          <t>No</t>
        </is>
      </c>
      <c r="D10" s="6" t="inlineStr">
        <is>
          <t>Yes</t>
        </is>
      </c>
      <c r="E10" s="6" t="inlineStr">
        <is>
          <t>Row Total</t>
        </is>
      </c>
    </row>
    <row r="11">
      <c r="A11" t="inlineStr">
        <is>
          <t>Female</t>
        </is>
      </c>
      <c r="B11" t="n">
        <v>10</v>
      </c>
      <c r="C11" t="n">
        <v>3</v>
      </c>
      <c r="D11" t="n">
        <v>102</v>
      </c>
      <c r="E11">
        <f>SUM(B11:D11)</f>
        <v/>
      </c>
    </row>
    <row r="12">
      <c r="A12" t="inlineStr">
        <is>
          <t>Male</t>
        </is>
      </c>
      <c r="B12" t="n">
        <v>6</v>
      </c>
      <c r="C12" t="n">
        <v>1</v>
      </c>
      <c r="D12" t="n">
        <v>78</v>
      </c>
      <c r="E12">
        <f>SUM(B12:D12)</f>
        <v/>
      </c>
    </row>
    <row r="13">
      <c r="A13" s="2" t="inlineStr">
        <is>
          <t>Column Total</t>
        </is>
      </c>
      <c r="B13">
        <f>SUM(B11:B12)</f>
        <v/>
      </c>
      <c r="C13">
        <f>SUM(C11:C12)</f>
        <v/>
      </c>
      <c r="D13">
        <f>SUM(D11:D12)</f>
        <v/>
      </c>
      <c r="E13">
        <f>SUM(E11:E12)</f>
        <v/>
      </c>
    </row>
    <row r="15">
      <c r="A15" s="2" t="inlineStr">
        <is>
          <t>EXPECTED FREQUENCIES</t>
        </is>
      </c>
    </row>
    <row r="16">
      <c r="A16" s="7" t="n"/>
      <c r="B16" s="7" t="inlineStr">
        <is>
          <t>Don’t know</t>
        </is>
      </c>
      <c r="C16" s="7" t="inlineStr">
        <is>
          <t>No</t>
        </is>
      </c>
      <c r="D16" s="7" t="inlineStr">
        <is>
          <t>Yes</t>
        </is>
      </c>
    </row>
    <row r="17">
      <c r="A17" t="inlineStr">
        <is>
          <t>Female</t>
        </is>
      </c>
      <c r="B17">
        <f>(E11*B13)/E13</f>
        <v/>
      </c>
      <c r="C17">
        <f>(E11*C13)/E13</f>
        <v/>
      </c>
      <c r="D17">
        <f>(E11*D13)/E13</f>
        <v/>
      </c>
    </row>
    <row r="18">
      <c r="A18" t="inlineStr">
        <is>
          <t>Male</t>
        </is>
      </c>
      <c r="B18">
        <f>(E12*B13)/E13</f>
        <v/>
      </c>
      <c r="C18">
        <f>(E12*C13)/E13</f>
        <v/>
      </c>
      <c r="D18">
        <f>(E12*D13)/E13</f>
        <v/>
      </c>
    </row>
    <row r="20">
      <c r="A20" s="2" t="inlineStr">
        <is>
          <t>CHI-SQUARE COMPONENTS: (O-E)²/E</t>
        </is>
      </c>
    </row>
    <row r="21">
      <c r="A21" s="8" t="n"/>
      <c r="B21" s="8" t="inlineStr">
        <is>
          <t>Don’t know</t>
        </is>
      </c>
      <c r="C21" s="8" t="inlineStr">
        <is>
          <t>No</t>
        </is>
      </c>
      <c r="D21" s="8" t="inlineStr">
        <is>
          <t>Yes</t>
        </is>
      </c>
    </row>
    <row r="22">
      <c r="A22" t="inlineStr">
        <is>
          <t>Female</t>
        </is>
      </c>
      <c r="B22">
        <f>IF(B17&gt;0,(B11-B17)^2/B17,0)</f>
        <v/>
      </c>
      <c r="C22">
        <f>IF(C17&gt;0,(C11-C17)^2/C17,0)</f>
        <v/>
      </c>
      <c r="D22">
        <f>IF(D17&gt;0,(D11-D17)^2/D17,0)</f>
        <v/>
      </c>
    </row>
    <row r="23">
      <c r="A23" t="inlineStr">
        <is>
          <t>Male</t>
        </is>
      </c>
      <c r="B23">
        <f>IF(B18&gt;0,(B12-B18)^2/B18,0)</f>
        <v/>
      </c>
      <c r="C23">
        <f>IF(C18&gt;0,(C12-C18)^2/C18,0)</f>
        <v/>
      </c>
      <c r="D23">
        <f>IF(D18&gt;0,(D12-D18)^2/D18,0)</f>
        <v/>
      </c>
    </row>
    <row r="25">
      <c r="A25" s="9" t="inlineStr">
        <is>
          <t>STATISTICAL RESULTS</t>
        </is>
      </c>
    </row>
    <row r="26">
      <c r="A26" t="inlineStr">
        <is>
          <t>Chi-Square Statistic (χ²):</t>
        </is>
      </c>
      <c r="B26" s="2">
        <f>SUM(B22:D23)</f>
        <v/>
      </c>
    </row>
    <row r="27">
      <c r="A27" t="inlineStr">
        <is>
          <t>Degrees of Freedom (df):</t>
        </is>
      </c>
      <c r="B27">
        <f>(2-1)*(3-1)</f>
        <v/>
      </c>
    </row>
    <row r="28">
      <c r="A28" t="inlineStr">
        <is>
          <t>P-value:</t>
        </is>
      </c>
      <c r="B28" s="10">
        <f>_xlfn.CHISQ.DIST.RT(B26,B27)</f>
        <v/>
      </c>
    </row>
    <row r="29">
      <c r="A29" t="inlineStr">
        <is>
          <t>Significant at α=0.05?</t>
        </is>
      </c>
      <c r="B29" s="2">
        <f>IF(B28&lt;0.05,"YES - Significant","NO - Not Significant")</f>
        <v/>
      </c>
    </row>
    <row r="30">
      <c r="A30" t="inlineStr">
        <is>
          <t>Critical Value (α=0.05):</t>
        </is>
      </c>
      <c r="B30" s="10">
        <f>_xlfn.CHISQ.INV.RT(0.05,B27)</f>
        <v/>
      </c>
    </row>
    <row r="31">
      <c r="A31" t="inlineStr">
        <is>
          <t>Cramér's V (Effect Size):</t>
        </is>
      </c>
      <c r="B31" s="10">
        <f>SQRT(B26/(E13*MIN(2-1,3-1)))</f>
        <v/>
      </c>
    </row>
    <row r="32">
      <c r="A32" t="inlineStr">
        <is>
          <t>Effect Size Interpretation:</t>
        </is>
      </c>
      <c r="B32">
        <f>IF(B31&lt;0.1,"Negligible",IF(B31&lt;0.3,"Small",IF(B31&lt;0.5,"Medium","Large")))</f>
        <v/>
      </c>
    </row>
    <row r="35">
      <c r="A35" s="5" t="inlineStr">
        <is>
          <t>ANALYSIS 2: Gender vs Q21 (Can thalassemia be prevented)</t>
        </is>
      </c>
    </row>
    <row r="37">
      <c r="A37" s="2" t="inlineStr">
        <is>
          <t>OBSERVED FREQUENCIES</t>
        </is>
      </c>
    </row>
    <row r="38">
      <c r="A38" s="6" t="n"/>
      <c r="B38" s="6" t="inlineStr">
        <is>
          <t>Can be prevented</t>
        </is>
      </c>
      <c r="C38" s="6" t="inlineStr">
        <is>
          <t>Cannot be prevented</t>
        </is>
      </c>
      <c r="D38" s="6" t="inlineStr">
        <is>
          <t>Not sure</t>
        </is>
      </c>
      <c r="E38" s="6" t="inlineStr">
        <is>
          <t>Row Total</t>
        </is>
      </c>
    </row>
    <row r="39">
      <c r="A39" t="inlineStr">
        <is>
          <t>Female</t>
        </is>
      </c>
      <c r="B39" t="n">
        <v>90</v>
      </c>
      <c r="C39" t="n">
        <v>4</v>
      </c>
      <c r="D39" t="n">
        <v>21</v>
      </c>
      <c r="E39">
        <f>SUM(B39:D39)</f>
        <v/>
      </c>
    </row>
    <row r="40">
      <c r="A40" t="inlineStr">
        <is>
          <t>Male</t>
        </is>
      </c>
      <c r="B40" t="n">
        <v>60</v>
      </c>
      <c r="C40" t="n">
        <v>6</v>
      </c>
      <c r="D40" t="n">
        <v>19</v>
      </c>
      <c r="E40">
        <f>SUM(B40:D40)</f>
        <v/>
      </c>
    </row>
    <row r="41">
      <c r="A41" s="2" t="inlineStr">
        <is>
          <t>Column Total</t>
        </is>
      </c>
      <c r="B41">
        <f>SUM(B39:B40)</f>
        <v/>
      </c>
      <c r="C41">
        <f>SUM(C39:C40)</f>
        <v/>
      </c>
      <c r="D41">
        <f>SUM(D39:D40)</f>
        <v/>
      </c>
      <c r="E41">
        <f>SUM(E39:E40)</f>
        <v/>
      </c>
    </row>
    <row r="43">
      <c r="A43" s="2" t="inlineStr">
        <is>
          <t>EXPECTED FREQUENCIES</t>
        </is>
      </c>
    </row>
    <row r="44">
      <c r="A44" s="7" t="n"/>
      <c r="B44" s="7" t="inlineStr">
        <is>
          <t>Can be prevented</t>
        </is>
      </c>
      <c r="C44" s="7" t="inlineStr">
        <is>
          <t>Cannot be prevented</t>
        </is>
      </c>
      <c r="D44" s="7" t="inlineStr">
        <is>
          <t>Not sure</t>
        </is>
      </c>
    </row>
    <row r="45">
      <c r="A45" t="inlineStr">
        <is>
          <t>Female</t>
        </is>
      </c>
      <c r="B45">
        <f>(E39*B41)/E41</f>
        <v/>
      </c>
      <c r="C45">
        <f>(E39*C41)/E41</f>
        <v/>
      </c>
      <c r="D45">
        <f>(E39*D41)/E41</f>
        <v/>
      </c>
    </row>
    <row r="46">
      <c r="A46" t="inlineStr">
        <is>
          <t>Male</t>
        </is>
      </c>
      <c r="B46">
        <f>(E40*B41)/E41</f>
        <v/>
      </c>
      <c r="C46">
        <f>(E40*C41)/E41</f>
        <v/>
      </c>
      <c r="D46">
        <f>(E40*D41)/E41</f>
        <v/>
      </c>
    </row>
    <row r="48">
      <c r="A48" s="2" t="inlineStr">
        <is>
          <t>CHI-SQUARE COMPONENTS: (O-E)²/E</t>
        </is>
      </c>
    </row>
    <row r="49">
      <c r="A49" s="8" t="n"/>
      <c r="B49" s="8" t="inlineStr">
        <is>
          <t>Can be prevented</t>
        </is>
      </c>
      <c r="C49" s="8" t="inlineStr">
        <is>
          <t>Cannot be prevented</t>
        </is>
      </c>
      <c r="D49" s="8" t="inlineStr">
        <is>
          <t>Not sure</t>
        </is>
      </c>
    </row>
    <row r="50">
      <c r="A50" t="inlineStr">
        <is>
          <t>Female</t>
        </is>
      </c>
      <c r="B50">
        <f>IF(B45&gt;0,(B39-B45)^2/B45,0)</f>
        <v/>
      </c>
      <c r="C50">
        <f>IF(C45&gt;0,(C39-C45)^2/C45,0)</f>
        <v/>
      </c>
      <c r="D50">
        <f>IF(D45&gt;0,(D39-D45)^2/D45,0)</f>
        <v/>
      </c>
    </row>
    <row r="51">
      <c r="A51" t="inlineStr">
        <is>
          <t>Male</t>
        </is>
      </c>
      <c r="B51">
        <f>IF(B46&gt;0,(B40-B46)^2/B46,0)</f>
        <v/>
      </c>
      <c r="C51">
        <f>IF(C46&gt;0,(C40-C46)^2/C46,0)</f>
        <v/>
      </c>
      <c r="D51">
        <f>IF(D46&gt;0,(D40-D46)^2/D46,0)</f>
        <v/>
      </c>
    </row>
    <row r="53">
      <c r="A53" s="9" t="inlineStr">
        <is>
          <t>STATISTICAL RESULTS</t>
        </is>
      </c>
    </row>
    <row r="54">
      <c r="A54" t="inlineStr">
        <is>
          <t>Chi-Square Statistic (χ²):</t>
        </is>
      </c>
      <c r="B54" s="2">
        <f>SUM(B50:D51)</f>
        <v/>
      </c>
    </row>
    <row r="55">
      <c r="A55" t="inlineStr">
        <is>
          <t>Degrees of Freedom (df):</t>
        </is>
      </c>
      <c r="B55">
        <f>(2-1)*(3-1)</f>
        <v/>
      </c>
    </row>
    <row r="56">
      <c r="A56" t="inlineStr">
        <is>
          <t>P-value:</t>
        </is>
      </c>
      <c r="B56" s="10">
        <f>_xlfn.CHISQ.DIST.RT(B54,B55)</f>
        <v/>
      </c>
    </row>
    <row r="57">
      <c r="A57" t="inlineStr">
        <is>
          <t>Significant at α=0.05?</t>
        </is>
      </c>
      <c r="B57" s="2">
        <f>IF(B56&lt;0.05,"YES - Significant","NO - Not Significant")</f>
        <v/>
      </c>
    </row>
    <row r="58">
      <c r="A58" t="inlineStr">
        <is>
          <t>Critical Value (α=0.05):</t>
        </is>
      </c>
      <c r="B58" s="10">
        <f>_xlfn.CHISQ.INV.RT(0.05,B55)</f>
        <v/>
      </c>
    </row>
    <row r="59">
      <c r="A59" t="inlineStr">
        <is>
          <t>Cramér's V (Effect Size):</t>
        </is>
      </c>
      <c r="B59" s="10">
        <f>SQRT(B54/(E41*MIN(2-1,3-1)))</f>
        <v/>
      </c>
    </row>
    <row r="60">
      <c r="A60" t="inlineStr">
        <is>
          <t>Effect Size Interpretation:</t>
        </is>
      </c>
      <c r="B60">
        <f>IF(B59&lt;0.1,"Negligible",IF(B59&lt;0.3,"Small",IF(B59&lt;0.5,"Medium","Large")))</f>
        <v/>
      </c>
    </row>
    <row r="63">
      <c r="A63" s="5" t="inlineStr">
        <is>
          <t>ANALYSIS 3: Gender vs Q31 (Accept carrier marriage)</t>
        </is>
      </c>
    </row>
    <row r="65">
      <c r="A65" s="2" t="inlineStr">
        <is>
          <t>OBSERVED FREQUENCIES</t>
        </is>
      </c>
    </row>
    <row r="66">
      <c r="A66" s="6" t="n"/>
      <c r="B66" s="6" t="inlineStr">
        <is>
          <t>No</t>
        </is>
      </c>
      <c r="C66" s="6" t="inlineStr">
        <is>
          <t>Not sure</t>
        </is>
      </c>
      <c r="D66" s="6" t="inlineStr">
        <is>
          <t>Yes</t>
        </is>
      </c>
      <c r="E66" s="6" t="inlineStr">
        <is>
          <t>Row Total</t>
        </is>
      </c>
    </row>
    <row r="67">
      <c r="A67" t="inlineStr">
        <is>
          <t>Female</t>
        </is>
      </c>
      <c r="B67" t="n">
        <v>94</v>
      </c>
      <c r="C67" t="n">
        <v>16</v>
      </c>
      <c r="D67" t="n">
        <v>4</v>
      </c>
      <c r="E67">
        <f>SUM(B67:D67)</f>
        <v/>
      </c>
    </row>
    <row r="68">
      <c r="A68" t="inlineStr">
        <is>
          <t>Male</t>
        </is>
      </c>
      <c r="B68" t="n">
        <v>60</v>
      </c>
      <c r="C68" t="n">
        <v>17</v>
      </c>
      <c r="D68" t="n">
        <v>6</v>
      </c>
      <c r="E68">
        <f>SUM(B68:D68)</f>
        <v/>
      </c>
    </row>
    <row r="69">
      <c r="A69" s="2" t="inlineStr">
        <is>
          <t>Column Total</t>
        </is>
      </c>
      <c r="B69">
        <f>SUM(B67:B68)</f>
        <v/>
      </c>
      <c r="C69">
        <f>SUM(C67:C68)</f>
        <v/>
      </c>
      <c r="D69">
        <f>SUM(D67:D68)</f>
        <v/>
      </c>
      <c r="E69">
        <f>SUM(E67:E68)</f>
        <v/>
      </c>
    </row>
    <row r="71">
      <c r="A71" s="2" t="inlineStr">
        <is>
          <t>EXPECTED FREQUENCIES</t>
        </is>
      </c>
    </row>
    <row r="72">
      <c r="A72" s="7" t="n"/>
      <c r="B72" s="7" t="inlineStr">
        <is>
          <t>No</t>
        </is>
      </c>
      <c r="C72" s="7" t="inlineStr">
        <is>
          <t>Not sure</t>
        </is>
      </c>
      <c r="D72" s="7" t="inlineStr">
        <is>
          <t>Yes</t>
        </is>
      </c>
    </row>
    <row r="73">
      <c r="A73" t="inlineStr">
        <is>
          <t>Female</t>
        </is>
      </c>
      <c r="B73">
        <f>(E67*B69)/E69</f>
        <v/>
      </c>
      <c r="C73">
        <f>(E67*C69)/E69</f>
        <v/>
      </c>
      <c r="D73">
        <f>(E67*D69)/E69</f>
        <v/>
      </c>
    </row>
    <row r="74">
      <c r="A74" t="inlineStr">
        <is>
          <t>Male</t>
        </is>
      </c>
      <c r="B74">
        <f>(E68*B69)/E69</f>
        <v/>
      </c>
      <c r="C74">
        <f>(E68*C69)/E69</f>
        <v/>
      </c>
      <c r="D74">
        <f>(E68*D69)/E69</f>
        <v/>
      </c>
    </row>
    <row r="76">
      <c r="A76" s="2" t="inlineStr">
        <is>
          <t>CHI-SQUARE COMPONENTS: (O-E)²/E</t>
        </is>
      </c>
    </row>
    <row r="77">
      <c r="A77" s="8" t="n"/>
      <c r="B77" s="8" t="inlineStr">
        <is>
          <t>No</t>
        </is>
      </c>
      <c r="C77" s="8" t="inlineStr">
        <is>
          <t>Not sure</t>
        </is>
      </c>
      <c r="D77" s="8" t="inlineStr">
        <is>
          <t>Yes</t>
        </is>
      </c>
    </row>
    <row r="78">
      <c r="A78" t="inlineStr">
        <is>
          <t>Female</t>
        </is>
      </c>
      <c r="B78">
        <f>IF(B73&gt;0,(B67-B73)^2/B73,0)</f>
        <v/>
      </c>
      <c r="C78">
        <f>IF(C73&gt;0,(C67-C73)^2/C73,0)</f>
        <v/>
      </c>
      <c r="D78">
        <f>IF(D73&gt;0,(D67-D73)^2/D73,0)</f>
        <v/>
      </c>
    </row>
    <row r="79">
      <c r="A79" t="inlineStr">
        <is>
          <t>Male</t>
        </is>
      </c>
      <c r="B79">
        <f>IF(B74&gt;0,(B68-B74)^2/B74,0)</f>
        <v/>
      </c>
      <c r="C79">
        <f>IF(C74&gt;0,(C68-C74)^2/C74,0)</f>
        <v/>
      </c>
      <c r="D79">
        <f>IF(D74&gt;0,(D68-D74)^2/D74,0)</f>
        <v/>
      </c>
    </row>
    <row r="81">
      <c r="A81" s="9" t="inlineStr">
        <is>
          <t>STATISTICAL RESULTS</t>
        </is>
      </c>
    </row>
    <row r="82">
      <c r="A82" t="inlineStr">
        <is>
          <t>Chi-Square Statistic (χ²):</t>
        </is>
      </c>
      <c r="B82" s="2">
        <f>SUM(B78:D79)</f>
        <v/>
      </c>
    </row>
    <row r="83">
      <c r="A83" t="inlineStr">
        <is>
          <t>Degrees of Freedom (df):</t>
        </is>
      </c>
      <c r="B83">
        <f>(2-1)*(3-1)</f>
        <v/>
      </c>
    </row>
    <row r="84">
      <c r="A84" t="inlineStr">
        <is>
          <t>P-value:</t>
        </is>
      </c>
      <c r="B84" s="10">
        <f>_xlfn.CHISQ.DIST.RT(B82,B83)</f>
        <v/>
      </c>
    </row>
    <row r="85">
      <c r="A85" t="inlineStr">
        <is>
          <t>Significant at α=0.05?</t>
        </is>
      </c>
      <c r="B85" s="2">
        <f>IF(B84&lt;0.05,"YES - Significant","NO - Not Significant")</f>
        <v/>
      </c>
    </row>
    <row r="86">
      <c r="A86" t="inlineStr">
        <is>
          <t>Critical Value (α=0.05):</t>
        </is>
      </c>
      <c r="B86" s="10">
        <f>_xlfn.CHISQ.INV.RT(0.05,B83)</f>
        <v/>
      </c>
    </row>
    <row r="87">
      <c r="A87" t="inlineStr">
        <is>
          <t>Cramér's V (Effect Size):</t>
        </is>
      </c>
      <c r="B87" s="10">
        <f>SQRT(B82/(E69*MIN(2-1,3-1)))</f>
        <v/>
      </c>
    </row>
    <row r="88">
      <c r="A88" t="inlineStr">
        <is>
          <t>Effect Size Interpretation:</t>
        </is>
      </c>
      <c r="B88">
        <f>IF(B87&lt;0.1,"Negligible",IF(B87&lt;0.3,"Small",IF(B87&lt;0.5,"Medium","Large")))</f>
        <v/>
      </c>
    </row>
    <row r="91">
      <c r="A91" s="5" t="inlineStr">
        <is>
          <t>ANALYSIS 4: Education vs Q15 (Thalassemia is blood disease)</t>
        </is>
      </c>
    </row>
    <row r="93">
      <c r="A93" s="2" t="inlineStr">
        <is>
          <t>OBSERVED FREQUENCIES</t>
        </is>
      </c>
    </row>
    <row r="94">
      <c r="A94" s="6" t="n"/>
      <c r="B94" s="6" t="inlineStr">
        <is>
          <t>Don’t know</t>
        </is>
      </c>
      <c r="C94" s="6" t="inlineStr">
        <is>
          <t>No</t>
        </is>
      </c>
      <c r="D94" s="6" t="inlineStr">
        <is>
          <t>Yes</t>
        </is>
      </c>
      <c r="E94" s="6" t="inlineStr">
        <is>
          <t>Row Total</t>
        </is>
      </c>
    </row>
    <row r="95">
      <c r="A95" t="inlineStr">
        <is>
          <t>Graduate</t>
        </is>
      </c>
      <c r="B95" t="n">
        <v>1</v>
      </c>
      <c r="C95" t="n">
        <v>0</v>
      </c>
      <c r="D95" t="n">
        <v>35</v>
      </c>
      <c r="E95">
        <f>SUM(B95:D95)</f>
        <v/>
      </c>
    </row>
    <row r="96">
      <c r="A96" t="inlineStr">
        <is>
          <t>Undergraduate</t>
        </is>
      </c>
      <c r="B96" t="n">
        <v>1</v>
      </c>
      <c r="C96" t="n">
        <v>1</v>
      </c>
      <c r="D96" t="n">
        <v>41</v>
      </c>
      <c r="E96">
        <f>SUM(B96:D96)</f>
        <v/>
      </c>
    </row>
    <row r="97">
      <c r="A97" t="inlineStr">
        <is>
          <t>Up to A/L</t>
        </is>
      </c>
      <c r="B97" t="n">
        <v>7</v>
      </c>
      <c r="C97" t="n">
        <v>3</v>
      </c>
      <c r="D97" t="n">
        <v>73</v>
      </c>
      <c r="E97">
        <f>SUM(B97:D97)</f>
        <v/>
      </c>
    </row>
    <row r="98">
      <c r="A98" t="inlineStr">
        <is>
          <t>Up to O/L</t>
        </is>
      </c>
      <c r="B98" t="n">
        <v>7</v>
      </c>
      <c r="C98" t="n">
        <v>0</v>
      </c>
      <c r="D98" t="n">
        <v>30</v>
      </c>
      <c r="E98">
        <f>SUM(B98:D98)</f>
        <v/>
      </c>
    </row>
    <row r="99">
      <c r="A99" s="2" t="inlineStr">
        <is>
          <t>Column Total</t>
        </is>
      </c>
      <c r="B99">
        <f>SUM(B95:B98)</f>
        <v/>
      </c>
      <c r="C99">
        <f>SUM(C95:C98)</f>
        <v/>
      </c>
      <c r="D99">
        <f>SUM(D95:D98)</f>
        <v/>
      </c>
      <c r="E99">
        <f>SUM(E95:E98)</f>
        <v/>
      </c>
    </row>
    <row r="101">
      <c r="A101" s="2" t="inlineStr">
        <is>
          <t>EXPECTED FREQUENCIES</t>
        </is>
      </c>
    </row>
    <row r="102">
      <c r="A102" s="7" t="n"/>
      <c r="B102" s="7" t="inlineStr">
        <is>
          <t>Don’t know</t>
        </is>
      </c>
      <c r="C102" s="7" t="inlineStr">
        <is>
          <t>No</t>
        </is>
      </c>
      <c r="D102" s="7" t="inlineStr">
        <is>
          <t>Yes</t>
        </is>
      </c>
    </row>
    <row r="103">
      <c r="A103" t="inlineStr">
        <is>
          <t>Graduate</t>
        </is>
      </c>
      <c r="B103">
        <f>(E95*B99)/E99</f>
        <v/>
      </c>
      <c r="C103">
        <f>(E95*C99)/E99</f>
        <v/>
      </c>
      <c r="D103">
        <f>(E95*D99)/E99</f>
        <v/>
      </c>
    </row>
    <row r="104">
      <c r="A104" t="inlineStr">
        <is>
          <t>Undergraduate</t>
        </is>
      </c>
      <c r="B104">
        <f>(E96*B99)/E99</f>
        <v/>
      </c>
      <c r="C104">
        <f>(E96*C99)/E99</f>
        <v/>
      </c>
      <c r="D104">
        <f>(E96*D99)/E99</f>
        <v/>
      </c>
    </row>
    <row r="105">
      <c r="A105" t="inlineStr">
        <is>
          <t>Up to A/L</t>
        </is>
      </c>
      <c r="B105">
        <f>(E97*B99)/E99</f>
        <v/>
      </c>
      <c r="C105">
        <f>(E97*C99)/E99</f>
        <v/>
      </c>
      <c r="D105">
        <f>(E97*D99)/E99</f>
        <v/>
      </c>
    </row>
    <row r="106">
      <c r="A106" t="inlineStr">
        <is>
          <t>Up to O/L</t>
        </is>
      </c>
      <c r="B106">
        <f>(E98*B99)/E99</f>
        <v/>
      </c>
      <c r="C106">
        <f>(E98*C99)/E99</f>
        <v/>
      </c>
      <c r="D106">
        <f>(E98*D99)/E99</f>
        <v/>
      </c>
    </row>
    <row r="108">
      <c r="A108" s="2" t="inlineStr">
        <is>
          <t>CHI-SQUARE COMPONENTS: (O-E)²/E</t>
        </is>
      </c>
    </row>
    <row r="109">
      <c r="A109" s="8" t="n"/>
      <c r="B109" s="8" t="inlineStr">
        <is>
          <t>Don’t know</t>
        </is>
      </c>
      <c r="C109" s="8" t="inlineStr">
        <is>
          <t>No</t>
        </is>
      </c>
      <c r="D109" s="8" t="inlineStr">
        <is>
          <t>Yes</t>
        </is>
      </c>
    </row>
    <row r="110">
      <c r="A110" t="inlineStr">
        <is>
          <t>Graduate</t>
        </is>
      </c>
      <c r="B110">
        <f>IF(B103&gt;0,(B95-B103)^2/B103,0)</f>
        <v/>
      </c>
      <c r="C110">
        <f>IF(C103&gt;0,(C95-C103)^2/C103,0)</f>
        <v/>
      </c>
      <c r="D110">
        <f>IF(D103&gt;0,(D95-D103)^2/D103,0)</f>
        <v/>
      </c>
    </row>
    <row r="111">
      <c r="A111" t="inlineStr">
        <is>
          <t>Undergraduate</t>
        </is>
      </c>
      <c r="B111">
        <f>IF(B104&gt;0,(B96-B104)^2/B104,0)</f>
        <v/>
      </c>
      <c r="C111">
        <f>IF(C104&gt;0,(C96-C104)^2/C104,0)</f>
        <v/>
      </c>
      <c r="D111">
        <f>IF(D104&gt;0,(D96-D104)^2/D104,0)</f>
        <v/>
      </c>
    </row>
    <row r="112">
      <c r="A112" t="inlineStr">
        <is>
          <t>Up to A/L</t>
        </is>
      </c>
      <c r="B112">
        <f>IF(B105&gt;0,(B97-B105)^2/B105,0)</f>
        <v/>
      </c>
      <c r="C112">
        <f>IF(C105&gt;0,(C97-C105)^2/C105,0)</f>
        <v/>
      </c>
      <c r="D112">
        <f>IF(D105&gt;0,(D97-D105)^2/D105,0)</f>
        <v/>
      </c>
    </row>
    <row r="113">
      <c r="A113" t="inlineStr">
        <is>
          <t>Up to O/L</t>
        </is>
      </c>
      <c r="B113">
        <f>IF(B106&gt;0,(B98-B106)^2/B106,0)</f>
        <v/>
      </c>
      <c r="C113">
        <f>IF(C106&gt;0,(C98-C106)^2/C106,0)</f>
        <v/>
      </c>
      <c r="D113">
        <f>IF(D106&gt;0,(D98-D106)^2/D106,0)</f>
        <v/>
      </c>
    </row>
    <row r="115">
      <c r="A115" s="9" t="inlineStr">
        <is>
          <t>STATISTICAL RESULTS</t>
        </is>
      </c>
    </row>
    <row r="116">
      <c r="A116" t="inlineStr">
        <is>
          <t>Chi-Square Statistic (χ²):</t>
        </is>
      </c>
      <c r="B116" s="2">
        <f>SUM(B110:D113)</f>
        <v/>
      </c>
    </row>
    <row r="117">
      <c r="A117" t="inlineStr">
        <is>
          <t>Degrees of Freedom (df):</t>
        </is>
      </c>
      <c r="B117">
        <f>(4-1)*(3-1)</f>
        <v/>
      </c>
    </row>
    <row r="118">
      <c r="A118" t="inlineStr">
        <is>
          <t>P-value:</t>
        </is>
      </c>
      <c r="B118" s="10">
        <f>_xlfn.CHISQ.DIST.RT(B116,B117)</f>
        <v/>
      </c>
    </row>
    <row r="119">
      <c r="A119" t="inlineStr">
        <is>
          <t>Significant at α=0.05?</t>
        </is>
      </c>
      <c r="B119" s="2">
        <f>IF(B118&lt;0.05,"YES - Significant","NO - Not Significant")</f>
        <v/>
      </c>
    </row>
    <row r="120">
      <c r="A120" t="inlineStr">
        <is>
          <t>Critical Value (α=0.05):</t>
        </is>
      </c>
      <c r="B120" s="10">
        <f>_xlfn.CHISQ.INV.RT(0.05,B117)</f>
        <v/>
      </c>
    </row>
    <row r="121">
      <c r="A121" t="inlineStr">
        <is>
          <t>Cramér's V (Effect Size):</t>
        </is>
      </c>
      <c r="B121" s="10">
        <f>SQRT(B116/(E99*MIN(4-1,3-1)))</f>
        <v/>
      </c>
    </row>
    <row r="122">
      <c r="A122" t="inlineStr">
        <is>
          <t>Effect Size Interpretation:</t>
        </is>
      </c>
      <c r="B122">
        <f>IF(B121&lt;0.1,"Negligible",IF(B121&lt;0.3,"Small",IF(B121&lt;0.5,"Medium","Large")))</f>
        <v/>
      </c>
    </row>
    <row r="125">
      <c r="A125" s="5" t="inlineStr">
        <is>
          <t>ANALYSIS 5: Education vs Q19 (Requires lifelong treatment)</t>
        </is>
      </c>
    </row>
    <row r="127">
      <c r="A127" s="2" t="inlineStr">
        <is>
          <t>OBSERVED FREQUENCIES</t>
        </is>
      </c>
    </row>
    <row r="128">
      <c r="A128" s="6" t="n"/>
      <c r="B128" s="6" t="inlineStr">
        <is>
          <t>Don’t know</t>
        </is>
      </c>
      <c r="C128" s="6" t="inlineStr">
        <is>
          <t>No</t>
        </is>
      </c>
      <c r="D128" s="6" t="inlineStr">
        <is>
          <t>Yes</t>
        </is>
      </c>
      <c r="E128" s="6" t="inlineStr">
        <is>
          <t>Row Total</t>
        </is>
      </c>
    </row>
    <row r="129">
      <c r="A129" t="inlineStr">
        <is>
          <t>Graduate</t>
        </is>
      </c>
      <c r="B129" t="n">
        <v>6</v>
      </c>
      <c r="C129" t="n">
        <v>3</v>
      </c>
      <c r="D129" t="n">
        <v>27</v>
      </c>
      <c r="E129">
        <f>SUM(B129:D129)</f>
        <v/>
      </c>
    </row>
    <row r="130">
      <c r="A130" t="inlineStr">
        <is>
          <t>Undergraduate</t>
        </is>
      </c>
      <c r="B130" t="n">
        <v>5</v>
      </c>
      <c r="C130" t="n">
        <v>1</v>
      </c>
      <c r="D130" t="n">
        <v>37</v>
      </c>
      <c r="E130">
        <f>SUM(B130:D130)</f>
        <v/>
      </c>
    </row>
    <row r="131">
      <c r="A131" t="inlineStr">
        <is>
          <t>Up to A/L</t>
        </is>
      </c>
      <c r="B131" t="n">
        <v>30</v>
      </c>
      <c r="C131" t="n">
        <v>6</v>
      </c>
      <c r="D131" t="n">
        <v>46</v>
      </c>
      <c r="E131">
        <f>SUM(B131:D131)</f>
        <v/>
      </c>
    </row>
    <row r="132">
      <c r="A132" t="inlineStr">
        <is>
          <t>Up to O/L</t>
        </is>
      </c>
      <c r="B132" t="n">
        <v>18</v>
      </c>
      <c r="C132" t="n">
        <v>1</v>
      </c>
      <c r="D132" t="n">
        <v>18</v>
      </c>
      <c r="E132">
        <f>SUM(B132:D132)</f>
        <v/>
      </c>
    </row>
    <row r="133">
      <c r="A133" s="2" t="inlineStr">
        <is>
          <t>Column Total</t>
        </is>
      </c>
      <c r="B133">
        <f>SUM(B129:B132)</f>
        <v/>
      </c>
      <c r="C133">
        <f>SUM(C129:C132)</f>
        <v/>
      </c>
      <c r="D133">
        <f>SUM(D129:D132)</f>
        <v/>
      </c>
      <c r="E133">
        <f>SUM(E129:E132)</f>
        <v/>
      </c>
    </row>
    <row r="135">
      <c r="A135" s="2" t="inlineStr">
        <is>
          <t>EXPECTED FREQUENCIES</t>
        </is>
      </c>
    </row>
    <row r="136">
      <c r="A136" s="7" t="n"/>
      <c r="B136" s="7" t="inlineStr">
        <is>
          <t>Don’t know</t>
        </is>
      </c>
      <c r="C136" s="7" t="inlineStr">
        <is>
          <t>No</t>
        </is>
      </c>
      <c r="D136" s="7" t="inlineStr">
        <is>
          <t>Yes</t>
        </is>
      </c>
    </row>
    <row r="137">
      <c r="A137" t="inlineStr">
        <is>
          <t>Graduate</t>
        </is>
      </c>
      <c r="B137">
        <f>(E129*B133)/E133</f>
        <v/>
      </c>
      <c r="C137">
        <f>(E129*C133)/E133</f>
        <v/>
      </c>
      <c r="D137">
        <f>(E129*D133)/E133</f>
        <v/>
      </c>
    </row>
    <row r="138">
      <c r="A138" t="inlineStr">
        <is>
          <t>Undergraduate</t>
        </is>
      </c>
      <c r="B138">
        <f>(E130*B133)/E133</f>
        <v/>
      </c>
      <c r="C138">
        <f>(E130*C133)/E133</f>
        <v/>
      </c>
      <c r="D138">
        <f>(E130*D133)/E133</f>
        <v/>
      </c>
    </row>
    <row r="139">
      <c r="A139" t="inlineStr">
        <is>
          <t>Up to A/L</t>
        </is>
      </c>
      <c r="B139">
        <f>(E131*B133)/E133</f>
        <v/>
      </c>
      <c r="C139">
        <f>(E131*C133)/E133</f>
        <v/>
      </c>
      <c r="D139">
        <f>(E131*D133)/E133</f>
        <v/>
      </c>
    </row>
    <row r="140">
      <c r="A140" t="inlineStr">
        <is>
          <t>Up to O/L</t>
        </is>
      </c>
      <c r="B140">
        <f>(E132*B133)/E133</f>
        <v/>
      </c>
      <c r="C140">
        <f>(E132*C133)/E133</f>
        <v/>
      </c>
      <c r="D140">
        <f>(E132*D133)/E133</f>
        <v/>
      </c>
    </row>
    <row r="142">
      <c r="A142" s="2" t="inlineStr">
        <is>
          <t>CHI-SQUARE COMPONENTS: (O-E)²/E</t>
        </is>
      </c>
    </row>
    <row r="143">
      <c r="A143" s="8" t="n"/>
      <c r="B143" s="8" t="inlineStr">
        <is>
          <t>Don’t know</t>
        </is>
      </c>
      <c r="C143" s="8" t="inlineStr">
        <is>
          <t>No</t>
        </is>
      </c>
      <c r="D143" s="8" t="inlineStr">
        <is>
          <t>Yes</t>
        </is>
      </c>
    </row>
    <row r="144">
      <c r="A144" t="inlineStr">
        <is>
          <t>Graduate</t>
        </is>
      </c>
      <c r="B144">
        <f>IF(B137&gt;0,(B129-B137)^2/B137,0)</f>
        <v/>
      </c>
      <c r="C144">
        <f>IF(C137&gt;0,(C129-C137)^2/C137,0)</f>
        <v/>
      </c>
      <c r="D144">
        <f>IF(D137&gt;0,(D129-D137)^2/D137,0)</f>
        <v/>
      </c>
    </row>
    <row r="145">
      <c r="A145" t="inlineStr">
        <is>
          <t>Undergraduate</t>
        </is>
      </c>
      <c r="B145">
        <f>IF(B138&gt;0,(B130-B138)^2/B138,0)</f>
        <v/>
      </c>
      <c r="C145">
        <f>IF(C138&gt;0,(C130-C138)^2/C138,0)</f>
        <v/>
      </c>
      <c r="D145">
        <f>IF(D138&gt;0,(D130-D138)^2/D138,0)</f>
        <v/>
      </c>
    </row>
    <row r="146">
      <c r="A146" t="inlineStr">
        <is>
          <t>Up to A/L</t>
        </is>
      </c>
      <c r="B146">
        <f>IF(B139&gt;0,(B131-B139)^2/B139,0)</f>
        <v/>
      </c>
      <c r="C146">
        <f>IF(C139&gt;0,(C131-C139)^2/C139,0)</f>
        <v/>
      </c>
      <c r="D146">
        <f>IF(D139&gt;0,(D131-D139)^2/D139,0)</f>
        <v/>
      </c>
    </row>
    <row r="147">
      <c r="A147" t="inlineStr">
        <is>
          <t>Up to O/L</t>
        </is>
      </c>
      <c r="B147">
        <f>IF(B140&gt;0,(B132-B140)^2/B140,0)</f>
        <v/>
      </c>
      <c r="C147">
        <f>IF(C140&gt;0,(C132-C140)^2/C140,0)</f>
        <v/>
      </c>
      <c r="D147">
        <f>IF(D140&gt;0,(D132-D140)^2/D140,0)</f>
        <v/>
      </c>
    </row>
    <row r="149">
      <c r="A149" s="9" t="inlineStr">
        <is>
          <t>STATISTICAL RESULTS</t>
        </is>
      </c>
    </row>
    <row r="150">
      <c r="A150" t="inlineStr">
        <is>
          <t>Chi-Square Statistic (χ²):</t>
        </is>
      </c>
      <c r="B150" s="2">
        <f>SUM(B144:D147)</f>
        <v/>
      </c>
    </row>
    <row r="151">
      <c r="A151" t="inlineStr">
        <is>
          <t>Degrees of Freedom (df):</t>
        </is>
      </c>
      <c r="B151">
        <f>(4-1)*(3-1)</f>
        <v/>
      </c>
    </row>
    <row r="152">
      <c r="A152" t="inlineStr">
        <is>
          <t>P-value:</t>
        </is>
      </c>
      <c r="B152" s="10">
        <f>_xlfn.CHISQ.DIST.RT(B150,B151)</f>
        <v/>
      </c>
    </row>
    <row r="153">
      <c r="A153" t="inlineStr">
        <is>
          <t>Significant at α=0.05?</t>
        </is>
      </c>
      <c r="B153" s="2">
        <f>IF(B152&lt;0.05,"YES - Significant","NO - Not Significant")</f>
        <v/>
      </c>
    </row>
    <row r="154">
      <c r="A154" t="inlineStr">
        <is>
          <t>Critical Value (α=0.05):</t>
        </is>
      </c>
      <c r="B154" s="10">
        <f>_xlfn.CHISQ.INV.RT(0.05,B151)</f>
        <v/>
      </c>
    </row>
    <row r="155">
      <c r="A155" t="inlineStr">
        <is>
          <t>Cramér's V (Effect Size):</t>
        </is>
      </c>
      <c r="B155" s="10">
        <f>SQRT(B150/(E133*MIN(4-1,3-1)))</f>
        <v/>
      </c>
    </row>
    <row r="156">
      <c r="A156" t="inlineStr">
        <is>
          <t>Effect Size Interpretation:</t>
        </is>
      </c>
      <c r="B156">
        <f>IF(B155&lt;0.1,"Negligible",IF(B155&lt;0.3,"Small",IF(B155&lt;0.5,"Medium","Large")))</f>
        <v/>
      </c>
    </row>
    <row r="159">
      <c r="A159" s="5" t="inlineStr">
        <is>
          <t>ANALYSIS 6: Education vs Q21 (Can thalassemia be prevented)</t>
        </is>
      </c>
    </row>
    <row r="161">
      <c r="A161" s="2" t="inlineStr">
        <is>
          <t>OBSERVED FREQUENCIES</t>
        </is>
      </c>
    </row>
    <row r="162">
      <c r="A162" s="6" t="n"/>
      <c r="B162" s="6" t="inlineStr">
        <is>
          <t>Can be prevented</t>
        </is>
      </c>
      <c r="C162" s="6" t="inlineStr">
        <is>
          <t>Cannot be prevented</t>
        </is>
      </c>
      <c r="D162" s="6" t="inlineStr">
        <is>
          <t>Not sure</t>
        </is>
      </c>
      <c r="E162" s="6" t="inlineStr">
        <is>
          <t>Row Total</t>
        </is>
      </c>
    </row>
    <row r="163">
      <c r="A163" t="inlineStr">
        <is>
          <t>Graduate</t>
        </is>
      </c>
      <c r="B163" t="n">
        <v>29</v>
      </c>
      <c r="C163" t="n">
        <v>4</v>
      </c>
      <c r="D163" t="n">
        <v>3</v>
      </c>
      <c r="E163">
        <f>SUM(B163:D163)</f>
        <v/>
      </c>
    </row>
    <row r="164">
      <c r="A164" t="inlineStr">
        <is>
          <t>Undergraduate</t>
        </is>
      </c>
      <c r="B164" t="n">
        <v>40</v>
      </c>
      <c r="C164" t="n">
        <v>3</v>
      </c>
      <c r="D164" t="n">
        <v>0</v>
      </c>
      <c r="E164">
        <f>SUM(B164:D164)</f>
        <v/>
      </c>
    </row>
    <row r="165">
      <c r="A165" t="inlineStr">
        <is>
          <t>Up to A/L</t>
        </is>
      </c>
      <c r="B165" t="n">
        <v>57</v>
      </c>
      <c r="C165" t="n">
        <v>2</v>
      </c>
      <c r="D165" t="n">
        <v>24</v>
      </c>
      <c r="E165">
        <f>SUM(B165:D165)</f>
        <v/>
      </c>
    </row>
    <row r="166">
      <c r="A166" t="inlineStr">
        <is>
          <t>Up to O/L</t>
        </is>
      </c>
      <c r="B166" t="n">
        <v>24</v>
      </c>
      <c r="C166" t="n">
        <v>0</v>
      </c>
      <c r="D166" t="n">
        <v>13</v>
      </c>
      <c r="E166">
        <f>SUM(B166:D166)</f>
        <v/>
      </c>
    </row>
    <row r="167">
      <c r="A167" s="2" t="inlineStr">
        <is>
          <t>Column Total</t>
        </is>
      </c>
      <c r="B167">
        <f>SUM(B163:B166)</f>
        <v/>
      </c>
      <c r="C167">
        <f>SUM(C163:C166)</f>
        <v/>
      </c>
      <c r="D167">
        <f>SUM(D163:D166)</f>
        <v/>
      </c>
      <c r="E167">
        <f>SUM(E163:E166)</f>
        <v/>
      </c>
    </row>
    <row r="169">
      <c r="A169" s="2" t="inlineStr">
        <is>
          <t>EXPECTED FREQUENCIES</t>
        </is>
      </c>
    </row>
    <row r="170">
      <c r="A170" s="7" t="n"/>
      <c r="B170" s="7" t="inlineStr">
        <is>
          <t>Can be prevented</t>
        </is>
      </c>
      <c r="C170" s="7" t="inlineStr">
        <is>
          <t>Cannot be prevented</t>
        </is>
      </c>
      <c r="D170" s="7" t="inlineStr">
        <is>
          <t>Not sure</t>
        </is>
      </c>
    </row>
    <row r="171">
      <c r="A171" t="inlineStr">
        <is>
          <t>Graduate</t>
        </is>
      </c>
      <c r="B171">
        <f>(E163*B167)/E167</f>
        <v/>
      </c>
      <c r="C171">
        <f>(E163*C167)/E167</f>
        <v/>
      </c>
      <c r="D171">
        <f>(E163*D167)/E167</f>
        <v/>
      </c>
    </row>
    <row r="172">
      <c r="A172" t="inlineStr">
        <is>
          <t>Undergraduate</t>
        </is>
      </c>
      <c r="B172">
        <f>(E164*B167)/E167</f>
        <v/>
      </c>
      <c r="C172">
        <f>(E164*C167)/E167</f>
        <v/>
      </c>
      <c r="D172">
        <f>(E164*D167)/E167</f>
        <v/>
      </c>
    </row>
    <row r="173">
      <c r="A173" t="inlineStr">
        <is>
          <t>Up to A/L</t>
        </is>
      </c>
      <c r="B173">
        <f>(E165*B167)/E167</f>
        <v/>
      </c>
      <c r="C173">
        <f>(E165*C167)/E167</f>
        <v/>
      </c>
      <c r="D173">
        <f>(E165*D167)/E167</f>
        <v/>
      </c>
    </row>
    <row r="174">
      <c r="A174" t="inlineStr">
        <is>
          <t>Up to O/L</t>
        </is>
      </c>
      <c r="B174">
        <f>(E166*B167)/E167</f>
        <v/>
      </c>
      <c r="C174">
        <f>(E166*C167)/E167</f>
        <v/>
      </c>
      <c r="D174">
        <f>(E166*D167)/E167</f>
        <v/>
      </c>
    </row>
    <row r="176">
      <c r="A176" s="2" t="inlineStr">
        <is>
          <t>CHI-SQUARE COMPONENTS: (O-E)²/E</t>
        </is>
      </c>
    </row>
    <row r="177">
      <c r="A177" s="8" t="n"/>
      <c r="B177" s="8" t="inlineStr">
        <is>
          <t>Can be prevented</t>
        </is>
      </c>
      <c r="C177" s="8" t="inlineStr">
        <is>
          <t>Cannot be prevented</t>
        </is>
      </c>
      <c r="D177" s="8" t="inlineStr">
        <is>
          <t>Not sure</t>
        </is>
      </c>
    </row>
    <row r="178">
      <c r="A178" t="inlineStr">
        <is>
          <t>Graduate</t>
        </is>
      </c>
      <c r="B178">
        <f>IF(B171&gt;0,(B163-B171)^2/B171,0)</f>
        <v/>
      </c>
      <c r="C178">
        <f>IF(C171&gt;0,(C163-C171)^2/C171,0)</f>
        <v/>
      </c>
      <c r="D178">
        <f>IF(D171&gt;0,(D163-D171)^2/D171,0)</f>
        <v/>
      </c>
    </row>
    <row r="179">
      <c r="A179" t="inlineStr">
        <is>
          <t>Undergraduate</t>
        </is>
      </c>
      <c r="B179">
        <f>IF(B172&gt;0,(B164-B172)^2/B172,0)</f>
        <v/>
      </c>
      <c r="C179">
        <f>IF(C172&gt;0,(C164-C172)^2/C172,0)</f>
        <v/>
      </c>
      <c r="D179">
        <f>IF(D172&gt;0,(D164-D172)^2/D172,0)</f>
        <v/>
      </c>
    </row>
    <row r="180">
      <c r="A180" t="inlineStr">
        <is>
          <t>Up to A/L</t>
        </is>
      </c>
      <c r="B180">
        <f>IF(B173&gt;0,(B165-B173)^2/B173,0)</f>
        <v/>
      </c>
      <c r="C180">
        <f>IF(C173&gt;0,(C165-C173)^2/C173,0)</f>
        <v/>
      </c>
      <c r="D180">
        <f>IF(D173&gt;0,(D165-D173)^2/D173,0)</f>
        <v/>
      </c>
    </row>
    <row r="181">
      <c r="A181" t="inlineStr">
        <is>
          <t>Up to O/L</t>
        </is>
      </c>
      <c r="B181">
        <f>IF(B174&gt;0,(B166-B174)^2/B174,0)</f>
        <v/>
      </c>
      <c r="C181">
        <f>IF(C174&gt;0,(C166-C174)^2/C174,0)</f>
        <v/>
      </c>
      <c r="D181">
        <f>IF(D174&gt;0,(D166-D174)^2/D174,0)</f>
        <v/>
      </c>
    </row>
    <row r="183">
      <c r="A183" s="9" t="inlineStr">
        <is>
          <t>STATISTICAL RESULTS</t>
        </is>
      </c>
    </row>
    <row r="184">
      <c r="A184" t="inlineStr">
        <is>
          <t>Chi-Square Statistic (χ²):</t>
        </is>
      </c>
      <c r="B184" s="2">
        <f>SUM(B178:D181)</f>
        <v/>
      </c>
    </row>
    <row r="185">
      <c r="A185" t="inlineStr">
        <is>
          <t>Degrees of Freedom (df):</t>
        </is>
      </c>
      <c r="B185">
        <f>(4-1)*(3-1)</f>
        <v/>
      </c>
    </row>
    <row r="186">
      <c r="A186" t="inlineStr">
        <is>
          <t>P-value:</t>
        </is>
      </c>
      <c r="B186" s="10">
        <f>_xlfn.CHISQ.DIST.RT(B184,B185)</f>
        <v/>
      </c>
    </row>
    <row r="187">
      <c r="A187" t="inlineStr">
        <is>
          <t>Significant at α=0.05?</t>
        </is>
      </c>
      <c r="B187" s="2">
        <f>IF(B186&lt;0.05,"YES - Significant","NO - Not Significant")</f>
        <v/>
      </c>
    </row>
    <row r="188">
      <c r="A188" t="inlineStr">
        <is>
          <t>Critical Value (α=0.05):</t>
        </is>
      </c>
      <c r="B188" s="10">
        <f>_xlfn.CHISQ.INV.RT(0.05,B185)</f>
        <v/>
      </c>
    </row>
    <row r="189">
      <c r="A189" t="inlineStr">
        <is>
          <t>Cramér's V (Effect Size):</t>
        </is>
      </c>
      <c r="B189" s="10">
        <f>SQRT(B184/(E167*MIN(4-1,3-1)))</f>
        <v/>
      </c>
    </row>
    <row r="190">
      <c r="A190" t="inlineStr">
        <is>
          <t>Effect Size Interpretation:</t>
        </is>
      </c>
      <c r="B190">
        <f>IF(B189&lt;0.1,"Negligible",IF(B189&lt;0.3,"Small",IF(B189&lt;0.5,"Medium","Large")))</f>
        <v/>
      </c>
    </row>
    <row r="193">
      <c r="A193" s="5" t="inlineStr">
        <is>
          <t>ANALYSIS 7: Marital Status vs Q30 (Consanguineous marriage)</t>
        </is>
      </c>
    </row>
    <row r="195">
      <c r="A195" s="2" t="inlineStr">
        <is>
          <t>OBSERVED FREQUENCIES</t>
        </is>
      </c>
    </row>
    <row r="196">
      <c r="A196" s="6" t="n"/>
      <c r="B196" s="6" t="inlineStr">
        <is>
          <t>Definitely not</t>
        </is>
      </c>
      <c r="C196" s="6" t="inlineStr">
        <is>
          <t>Not sure</t>
        </is>
      </c>
      <c r="D196" s="6" t="inlineStr">
        <is>
          <t>Yes I am willing</t>
        </is>
      </c>
      <c r="E196" s="6" t="inlineStr">
        <is>
          <t>Yes I have</t>
        </is>
      </c>
      <c r="F196" s="6" t="inlineStr">
        <is>
          <t>Row Total</t>
        </is>
      </c>
    </row>
    <row r="197">
      <c r="A197" t="inlineStr">
        <is>
          <t>Married</t>
        </is>
      </c>
      <c r="B197" t="n">
        <v>52</v>
      </c>
      <c r="C197" t="n">
        <v>14</v>
      </c>
      <c r="D197" t="n">
        <v>1</v>
      </c>
      <c r="E197" t="n">
        <v>2</v>
      </c>
      <c r="F197">
        <f>SUM(B197:E197)</f>
        <v/>
      </c>
    </row>
    <row r="198">
      <c r="A198" t="inlineStr">
        <is>
          <t>Single</t>
        </is>
      </c>
      <c r="B198" t="n">
        <v>108</v>
      </c>
      <c r="C198" t="n">
        <v>21</v>
      </c>
      <c r="D198" t="n">
        <v>2</v>
      </c>
      <c r="E198" t="n">
        <v>0</v>
      </c>
      <c r="F198">
        <f>SUM(B198:E198)</f>
        <v/>
      </c>
    </row>
    <row r="199">
      <c r="A199" s="2" t="inlineStr">
        <is>
          <t>Column Total</t>
        </is>
      </c>
      <c r="B199">
        <f>SUM(B197:B198)</f>
        <v/>
      </c>
      <c r="C199">
        <f>SUM(C197:C198)</f>
        <v/>
      </c>
      <c r="D199">
        <f>SUM(D197:D198)</f>
        <v/>
      </c>
      <c r="E199">
        <f>SUM(E197:E198)</f>
        <v/>
      </c>
      <c r="F199">
        <f>SUM(F197:F198)</f>
        <v/>
      </c>
    </row>
    <row r="201">
      <c r="A201" s="2" t="inlineStr">
        <is>
          <t>EXPECTED FREQUENCIES</t>
        </is>
      </c>
    </row>
    <row r="202">
      <c r="A202" s="7" t="n"/>
      <c r="B202" s="7" t="inlineStr">
        <is>
          <t>Definitely not</t>
        </is>
      </c>
      <c r="C202" s="7" t="inlineStr">
        <is>
          <t>Not sure</t>
        </is>
      </c>
      <c r="D202" s="7" t="inlineStr">
        <is>
          <t>Yes I am willing</t>
        </is>
      </c>
      <c r="E202" s="7" t="inlineStr">
        <is>
          <t>Yes I have</t>
        </is>
      </c>
    </row>
    <row r="203">
      <c r="A203" t="inlineStr">
        <is>
          <t>Married</t>
        </is>
      </c>
      <c r="B203">
        <f>(F197*B199)/F199</f>
        <v/>
      </c>
      <c r="C203">
        <f>(F197*C199)/F199</f>
        <v/>
      </c>
      <c r="D203">
        <f>(F197*D199)/F199</f>
        <v/>
      </c>
      <c r="E203">
        <f>(F197*E199)/F199</f>
        <v/>
      </c>
    </row>
    <row r="204">
      <c r="A204" t="inlineStr">
        <is>
          <t>Single</t>
        </is>
      </c>
      <c r="B204">
        <f>(F198*B199)/F199</f>
        <v/>
      </c>
      <c r="C204">
        <f>(F198*C199)/F199</f>
        <v/>
      </c>
      <c r="D204">
        <f>(F198*D199)/F199</f>
        <v/>
      </c>
      <c r="E204">
        <f>(F198*E199)/F199</f>
        <v/>
      </c>
    </row>
    <row r="206">
      <c r="A206" s="2" t="inlineStr">
        <is>
          <t>CHI-SQUARE COMPONENTS: (O-E)²/E</t>
        </is>
      </c>
    </row>
    <row r="207">
      <c r="A207" s="8" t="n"/>
      <c r="B207" s="8" t="inlineStr">
        <is>
          <t>Definitely not</t>
        </is>
      </c>
      <c r="C207" s="8" t="inlineStr">
        <is>
          <t>Not sure</t>
        </is>
      </c>
      <c r="D207" s="8" t="inlineStr">
        <is>
          <t>Yes I am willing</t>
        </is>
      </c>
      <c r="E207" s="8" t="inlineStr">
        <is>
          <t>Yes I have</t>
        </is>
      </c>
    </row>
    <row r="208">
      <c r="A208" t="inlineStr">
        <is>
          <t>Married</t>
        </is>
      </c>
      <c r="B208">
        <f>IF(B203&gt;0,(B197-B203)^2/B203,0)</f>
        <v/>
      </c>
      <c r="C208">
        <f>IF(C203&gt;0,(C197-C203)^2/C203,0)</f>
        <v/>
      </c>
      <c r="D208">
        <f>IF(D203&gt;0,(D197-D203)^2/D203,0)</f>
        <v/>
      </c>
      <c r="E208">
        <f>IF(E203&gt;0,(E197-E203)^2/E203,0)</f>
        <v/>
      </c>
    </row>
    <row r="209">
      <c r="A209" t="inlineStr">
        <is>
          <t>Single</t>
        </is>
      </c>
      <c r="B209">
        <f>IF(B204&gt;0,(B198-B204)^2/B204,0)</f>
        <v/>
      </c>
      <c r="C209">
        <f>IF(C204&gt;0,(C198-C204)^2/C204,0)</f>
        <v/>
      </c>
      <c r="D209">
        <f>IF(D204&gt;0,(D198-D204)^2/D204,0)</f>
        <v/>
      </c>
      <c r="E209">
        <f>IF(E204&gt;0,(E198-E204)^2/E204,0)</f>
        <v/>
      </c>
    </row>
    <row r="211">
      <c r="A211" s="9" t="inlineStr">
        <is>
          <t>STATISTICAL RESULTS</t>
        </is>
      </c>
    </row>
    <row r="212">
      <c r="A212" t="inlineStr">
        <is>
          <t>Chi-Square Statistic (χ²):</t>
        </is>
      </c>
      <c r="B212" s="2">
        <f>SUM(B208:E209)</f>
        <v/>
      </c>
    </row>
    <row r="213">
      <c r="A213" t="inlineStr">
        <is>
          <t>Degrees of Freedom (df):</t>
        </is>
      </c>
      <c r="B213">
        <f>(2-1)*(4-1)</f>
        <v/>
      </c>
    </row>
    <row r="214">
      <c r="A214" t="inlineStr">
        <is>
          <t>P-value:</t>
        </is>
      </c>
      <c r="B214" s="10">
        <f>_xlfn.CHISQ.DIST.RT(B212,B213)</f>
        <v/>
      </c>
    </row>
    <row r="215">
      <c r="A215" t="inlineStr">
        <is>
          <t>Significant at α=0.05?</t>
        </is>
      </c>
      <c r="B215" s="2">
        <f>IF(B214&lt;0.05,"YES - Significant","NO - Not Significant")</f>
        <v/>
      </c>
    </row>
    <row r="216">
      <c r="A216" t="inlineStr">
        <is>
          <t>Critical Value (α=0.05):</t>
        </is>
      </c>
      <c r="B216" s="10">
        <f>_xlfn.CHISQ.INV.RT(0.05,B213)</f>
        <v/>
      </c>
    </row>
    <row r="217">
      <c r="A217" t="inlineStr">
        <is>
          <t>Cramér's V (Effect Size):</t>
        </is>
      </c>
      <c r="B217" s="10">
        <f>SQRT(B212/(F199*MIN(2-1,4-1)))</f>
        <v/>
      </c>
    </row>
    <row r="218">
      <c r="A218" t="inlineStr">
        <is>
          <t>Effect Size Interpretation:</t>
        </is>
      </c>
      <c r="B218">
        <f>IF(B217&lt;0.1,"Negligible",IF(B217&lt;0.3,"Small",IF(B217&lt;0.5,"Medium","Large")))</f>
        <v/>
      </c>
    </row>
    <row r="221">
      <c r="A221" s="5" t="inlineStr">
        <is>
          <t>ANALYSIS 8: Marital Status vs Q35 (Family screening important)</t>
        </is>
      </c>
    </row>
    <row r="223">
      <c r="A223" s="2" t="inlineStr">
        <is>
          <t>OBSERVED FREQUENCIES</t>
        </is>
      </c>
    </row>
    <row r="224">
      <c r="A224" s="6" t="n"/>
      <c r="B224" s="6" t="inlineStr">
        <is>
          <t>Agree</t>
        </is>
      </c>
      <c r="C224" s="6" t="inlineStr">
        <is>
          <t>Disagree</t>
        </is>
      </c>
      <c r="D224" s="6" t="inlineStr">
        <is>
          <t>Don’t know</t>
        </is>
      </c>
      <c r="E224" s="6" t="inlineStr">
        <is>
          <t>Row Total</t>
        </is>
      </c>
    </row>
    <row r="225">
      <c r="A225" t="inlineStr">
        <is>
          <t>Married</t>
        </is>
      </c>
      <c r="B225" t="n">
        <v>65</v>
      </c>
      <c r="C225" t="n">
        <v>1</v>
      </c>
      <c r="D225" t="n">
        <v>3</v>
      </c>
      <c r="E225">
        <f>SUM(B225:D225)</f>
        <v/>
      </c>
    </row>
    <row r="226">
      <c r="A226" t="inlineStr">
        <is>
          <t>Single</t>
        </is>
      </c>
      <c r="B226" t="n">
        <v>126</v>
      </c>
      <c r="C226" t="n">
        <v>3</v>
      </c>
      <c r="D226" t="n">
        <v>2</v>
      </c>
      <c r="E226">
        <f>SUM(B226:D226)</f>
        <v/>
      </c>
    </row>
    <row r="227">
      <c r="A227" s="2" t="inlineStr">
        <is>
          <t>Column Total</t>
        </is>
      </c>
      <c r="B227">
        <f>SUM(B225:B226)</f>
        <v/>
      </c>
      <c r="C227">
        <f>SUM(C225:C226)</f>
        <v/>
      </c>
      <c r="D227">
        <f>SUM(D225:D226)</f>
        <v/>
      </c>
      <c r="E227">
        <f>SUM(E225:E226)</f>
        <v/>
      </c>
    </row>
    <row r="229">
      <c r="A229" s="2" t="inlineStr">
        <is>
          <t>EXPECTED FREQUENCIES</t>
        </is>
      </c>
    </row>
    <row r="230">
      <c r="A230" s="7" t="n"/>
      <c r="B230" s="7" t="inlineStr">
        <is>
          <t>Agree</t>
        </is>
      </c>
      <c r="C230" s="7" t="inlineStr">
        <is>
          <t>Disagree</t>
        </is>
      </c>
      <c r="D230" s="7" t="inlineStr">
        <is>
          <t>Don’t know</t>
        </is>
      </c>
    </row>
    <row r="231">
      <c r="A231" t="inlineStr">
        <is>
          <t>Married</t>
        </is>
      </c>
      <c r="B231">
        <f>(E225*B227)/E227</f>
        <v/>
      </c>
      <c r="C231">
        <f>(E225*C227)/E227</f>
        <v/>
      </c>
      <c r="D231">
        <f>(E225*D227)/E227</f>
        <v/>
      </c>
    </row>
    <row r="232">
      <c r="A232" t="inlineStr">
        <is>
          <t>Single</t>
        </is>
      </c>
      <c r="B232">
        <f>(E226*B227)/E227</f>
        <v/>
      </c>
      <c r="C232">
        <f>(E226*C227)/E227</f>
        <v/>
      </c>
      <c r="D232">
        <f>(E226*D227)/E227</f>
        <v/>
      </c>
    </row>
    <row r="234">
      <c r="A234" s="2" t="inlineStr">
        <is>
          <t>CHI-SQUARE COMPONENTS: (O-E)²/E</t>
        </is>
      </c>
    </row>
    <row r="235">
      <c r="A235" s="8" t="n"/>
      <c r="B235" s="8" t="inlineStr">
        <is>
          <t>Agree</t>
        </is>
      </c>
      <c r="C235" s="8" t="inlineStr">
        <is>
          <t>Disagree</t>
        </is>
      </c>
      <c r="D235" s="8" t="inlineStr">
        <is>
          <t>Don’t know</t>
        </is>
      </c>
    </row>
    <row r="236">
      <c r="A236" t="inlineStr">
        <is>
          <t>Married</t>
        </is>
      </c>
      <c r="B236">
        <f>IF(B231&gt;0,(B225-B231)^2/B231,0)</f>
        <v/>
      </c>
      <c r="C236">
        <f>IF(C231&gt;0,(C225-C231)^2/C231,0)</f>
        <v/>
      </c>
      <c r="D236">
        <f>IF(D231&gt;0,(D225-D231)^2/D231,0)</f>
        <v/>
      </c>
    </row>
    <row r="237">
      <c r="A237" t="inlineStr">
        <is>
          <t>Single</t>
        </is>
      </c>
      <c r="B237">
        <f>IF(B232&gt;0,(B226-B232)^2/B232,0)</f>
        <v/>
      </c>
      <c r="C237">
        <f>IF(C232&gt;0,(C226-C232)^2/C232,0)</f>
        <v/>
      </c>
      <c r="D237">
        <f>IF(D232&gt;0,(D226-D232)^2/D232,0)</f>
        <v/>
      </c>
    </row>
    <row r="239">
      <c r="A239" s="9" t="inlineStr">
        <is>
          <t>STATISTICAL RESULTS</t>
        </is>
      </c>
    </row>
    <row r="240">
      <c r="A240" t="inlineStr">
        <is>
          <t>Chi-Square Statistic (χ²):</t>
        </is>
      </c>
      <c r="B240" s="2">
        <f>SUM(B236:D237)</f>
        <v/>
      </c>
    </row>
    <row r="241">
      <c r="A241" t="inlineStr">
        <is>
          <t>Degrees of Freedom (df):</t>
        </is>
      </c>
      <c r="B241">
        <f>(2-1)*(3-1)</f>
        <v/>
      </c>
    </row>
    <row r="242">
      <c r="A242" t="inlineStr">
        <is>
          <t>P-value:</t>
        </is>
      </c>
      <c r="B242" s="10">
        <f>_xlfn.CHISQ.DIST.RT(B240,B241)</f>
        <v/>
      </c>
    </row>
    <row r="243">
      <c r="A243" t="inlineStr">
        <is>
          <t>Significant at α=0.05?</t>
        </is>
      </c>
      <c r="B243" s="2">
        <f>IF(B242&lt;0.05,"YES - Significant","NO - Not Significant")</f>
        <v/>
      </c>
    </row>
    <row r="244">
      <c r="A244" t="inlineStr">
        <is>
          <t>Critical Value (α=0.05):</t>
        </is>
      </c>
      <c r="B244" s="10">
        <f>_xlfn.CHISQ.INV.RT(0.05,B241)</f>
        <v/>
      </c>
    </row>
    <row r="245">
      <c r="A245" t="inlineStr">
        <is>
          <t>Cramér's V (Effect Size):</t>
        </is>
      </c>
      <c r="B245" s="10">
        <f>SQRT(B240/(E227*MIN(2-1,3-1)))</f>
        <v/>
      </c>
    </row>
    <row r="246">
      <c r="A246" t="inlineStr">
        <is>
          <t>Effect Size Interpretation:</t>
        </is>
      </c>
      <c r="B246">
        <f>IF(B245&lt;0.1,"Negligible",IF(B245&lt;0.3,"Small",IF(B245&lt;0.5,"Medium","Large")))</f>
        <v/>
      </c>
    </row>
    <row r="249">
      <c r="A249" s="5" t="inlineStr">
        <is>
          <t>ANALYSIS 9: Education vs Q40 (Cascade screening importance)</t>
        </is>
      </c>
    </row>
    <row r="251">
      <c r="A251" s="2" t="inlineStr">
        <is>
          <t>OBSERVED FREQUENCIES</t>
        </is>
      </c>
    </row>
    <row r="252">
      <c r="A252" s="6" t="n"/>
      <c r="B252" s="6" t="inlineStr">
        <is>
          <t>Important</t>
        </is>
      </c>
      <c r="C252" s="6" t="inlineStr">
        <is>
          <t>Not important</t>
        </is>
      </c>
      <c r="D252" s="6" t="inlineStr">
        <is>
          <t>Slightly important</t>
        </is>
      </c>
      <c r="E252" s="6" t="inlineStr">
        <is>
          <t>Very important</t>
        </is>
      </c>
      <c r="F252" s="6" t="inlineStr">
        <is>
          <t>Row Total</t>
        </is>
      </c>
    </row>
    <row r="253">
      <c r="A253" t="inlineStr">
        <is>
          <t>Graduate</t>
        </is>
      </c>
      <c r="B253" t="n">
        <v>9</v>
      </c>
      <c r="C253" t="n">
        <v>0</v>
      </c>
      <c r="D253" t="n">
        <v>2</v>
      </c>
      <c r="E253" t="n">
        <v>25</v>
      </c>
      <c r="F253">
        <f>SUM(B253:E253)</f>
        <v/>
      </c>
    </row>
    <row r="254">
      <c r="A254" t="inlineStr">
        <is>
          <t>Undergraduate</t>
        </is>
      </c>
      <c r="B254" t="n">
        <v>12</v>
      </c>
      <c r="C254" t="n">
        <v>1</v>
      </c>
      <c r="D254" t="n">
        <v>2</v>
      </c>
      <c r="E254" t="n">
        <v>28</v>
      </c>
      <c r="F254">
        <f>SUM(B254:E254)</f>
        <v/>
      </c>
    </row>
    <row r="255">
      <c r="A255" t="inlineStr">
        <is>
          <t>Up to A/L</t>
        </is>
      </c>
      <c r="B255" t="n">
        <v>32</v>
      </c>
      <c r="C255" t="n">
        <v>0</v>
      </c>
      <c r="D255" t="n">
        <v>4</v>
      </c>
      <c r="E255" t="n">
        <v>44</v>
      </c>
      <c r="F255">
        <f>SUM(B255:E255)</f>
        <v/>
      </c>
    </row>
    <row r="256">
      <c r="A256" t="inlineStr">
        <is>
          <t>Up to O/L</t>
        </is>
      </c>
      <c r="B256" t="n">
        <v>16</v>
      </c>
      <c r="C256" t="n">
        <v>1</v>
      </c>
      <c r="D256" t="n">
        <v>0</v>
      </c>
      <c r="E256" t="n">
        <v>20</v>
      </c>
      <c r="F256">
        <f>SUM(B256:E256)</f>
        <v/>
      </c>
    </row>
    <row r="257">
      <c r="A257" s="2" t="inlineStr">
        <is>
          <t>Column Total</t>
        </is>
      </c>
      <c r="B257">
        <f>SUM(B253:B256)</f>
        <v/>
      </c>
      <c r="C257">
        <f>SUM(C253:C256)</f>
        <v/>
      </c>
      <c r="D257">
        <f>SUM(D253:D256)</f>
        <v/>
      </c>
      <c r="E257">
        <f>SUM(E253:E256)</f>
        <v/>
      </c>
      <c r="F257">
        <f>SUM(F253:F256)</f>
        <v/>
      </c>
    </row>
    <row r="259">
      <c r="A259" s="2" t="inlineStr">
        <is>
          <t>EXPECTED FREQUENCIES</t>
        </is>
      </c>
    </row>
    <row r="260">
      <c r="A260" s="7" t="n"/>
      <c r="B260" s="7" t="inlineStr">
        <is>
          <t>Important</t>
        </is>
      </c>
      <c r="C260" s="7" t="inlineStr">
        <is>
          <t>Not important</t>
        </is>
      </c>
      <c r="D260" s="7" t="inlineStr">
        <is>
          <t>Slightly important</t>
        </is>
      </c>
      <c r="E260" s="7" t="inlineStr">
        <is>
          <t>Very important</t>
        </is>
      </c>
    </row>
    <row r="261">
      <c r="A261" t="inlineStr">
        <is>
          <t>Graduate</t>
        </is>
      </c>
      <c r="B261">
        <f>(F253*B257)/F257</f>
        <v/>
      </c>
      <c r="C261">
        <f>(F253*C257)/F257</f>
        <v/>
      </c>
      <c r="D261">
        <f>(F253*D257)/F257</f>
        <v/>
      </c>
      <c r="E261">
        <f>(F253*E257)/F257</f>
        <v/>
      </c>
    </row>
    <row r="262">
      <c r="A262" t="inlineStr">
        <is>
          <t>Undergraduate</t>
        </is>
      </c>
      <c r="B262">
        <f>(F254*B257)/F257</f>
        <v/>
      </c>
      <c r="C262">
        <f>(F254*C257)/F257</f>
        <v/>
      </c>
      <c r="D262">
        <f>(F254*D257)/F257</f>
        <v/>
      </c>
      <c r="E262">
        <f>(F254*E257)/F257</f>
        <v/>
      </c>
    </row>
    <row r="263">
      <c r="A263" t="inlineStr">
        <is>
          <t>Up to A/L</t>
        </is>
      </c>
      <c r="B263">
        <f>(F255*B257)/F257</f>
        <v/>
      </c>
      <c r="C263">
        <f>(F255*C257)/F257</f>
        <v/>
      </c>
      <c r="D263">
        <f>(F255*D257)/F257</f>
        <v/>
      </c>
      <c r="E263">
        <f>(F255*E257)/F257</f>
        <v/>
      </c>
    </row>
    <row r="264">
      <c r="A264" t="inlineStr">
        <is>
          <t>Up to O/L</t>
        </is>
      </c>
      <c r="B264">
        <f>(F256*B257)/F257</f>
        <v/>
      </c>
      <c r="C264">
        <f>(F256*C257)/F257</f>
        <v/>
      </c>
      <c r="D264">
        <f>(F256*D257)/F257</f>
        <v/>
      </c>
      <c r="E264">
        <f>(F256*E257)/F257</f>
        <v/>
      </c>
    </row>
    <row r="266">
      <c r="A266" s="2" t="inlineStr">
        <is>
          <t>CHI-SQUARE COMPONENTS: (O-E)²/E</t>
        </is>
      </c>
    </row>
    <row r="267">
      <c r="A267" s="8" t="n"/>
      <c r="B267" s="8" t="inlineStr">
        <is>
          <t>Important</t>
        </is>
      </c>
      <c r="C267" s="8" t="inlineStr">
        <is>
          <t>Not important</t>
        </is>
      </c>
      <c r="D267" s="8" t="inlineStr">
        <is>
          <t>Slightly important</t>
        </is>
      </c>
      <c r="E267" s="8" t="inlineStr">
        <is>
          <t>Very important</t>
        </is>
      </c>
    </row>
    <row r="268">
      <c r="A268" t="inlineStr">
        <is>
          <t>Graduate</t>
        </is>
      </c>
      <c r="B268">
        <f>IF(B261&gt;0,(B253-B261)^2/B261,0)</f>
        <v/>
      </c>
      <c r="C268">
        <f>IF(C261&gt;0,(C253-C261)^2/C261,0)</f>
        <v/>
      </c>
      <c r="D268">
        <f>IF(D261&gt;0,(D253-D261)^2/D261,0)</f>
        <v/>
      </c>
      <c r="E268">
        <f>IF(E261&gt;0,(E253-E261)^2/E261,0)</f>
        <v/>
      </c>
    </row>
    <row r="269">
      <c r="A269" t="inlineStr">
        <is>
          <t>Undergraduate</t>
        </is>
      </c>
      <c r="B269">
        <f>IF(B262&gt;0,(B254-B262)^2/B262,0)</f>
        <v/>
      </c>
      <c r="C269">
        <f>IF(C262&gt;0,(C254-C262)^2/C262,0)</f>
        <v/>
      </c>
      <c r="D269">
        <f>IF(D262&gt;0,(D254-D262)^2/D262,0)</f>
        <v/>
      </c>
      <c r="E269">
        <f>IF(E262&gt;0,(E254-E262)^2/E262,0)</f>
        <v/>
      </c>
    </row>
    <row r="270">
      <c r="A270" t="inlineStr">
        <is>
          <t>Up to A/L</t>
        </is>
      </c>
      <c r="B270">
        <f>IF(B263&gt;0,(B255-B263)^2/B263,0)</f>
        <v/>
      </c>
      <c r="C270">
        <f>IF(C263&gt;0,(C255-C263)^2/C263,0)</f>
        <v/>
      </c>
      <c r="D270">
        <f>IF(D263&gt;0,(D255-D263)^2/D263,0)</f>
        <v/>
      </c>
      <c r="E270">
        <f>IF(E263&gt;0,(E255-E263)^2/E263,0)</f>
        <v/>
      </c>
    </row>
    <row r="271">
      <c r="A271" t="inlineStr">
        <is>
          <t>Up to O/L</t>
        </is>
      </c>
      <c r="B271">
        <f>IF(B264&gt;0,(B256-B264)^2/B264,0)</f>
        <v/>
      </c>
      <c r="C271">
        <f>IF(C264&gt;0,(C256-C264)^2/C264,0)</f>
        <v/>
      </c>
      <c r="D271">
        <f>IF(D264&gt;0,(D256-D264)^2/D264,0)</f>
        <v/>
      </c>
      <c r="E271">
        <f>IF(E264&gt;0,(E256-E264)^2/E264,0)</f>
        <v/>
      </c>
    </row>
    <row r="273">
      <c r="A273" s="9" t="inlineStr">
        <is>
          <t>STATISTICAL RESULTS</t>
        </is>
      </c>
    </row>
    <row r="274">
      <c r="A274" t="inlineStr">
        <is>
          <t>Chi-Square Statistic (χ²):</t>
        </is>
      </c>
      <c r="B274" s="2">
        <f>SUM(B268:E271)</f>
        <v/>
      </c>
    </row>
    <row r="275">
      <c r="A275" t="inlineStr">
        <is>
          <t>Degrees of Freedom (df):</t>
        </is>
      </c>
      <c r="B275">
        <f>(4-1)*(4-1)</f>
        <v/>
      </c>
    </row>
    <row r="276">
      <c r="A276" t="inlineStr">
        <is>
          <t>P-value:</t>
        </is>
      </c>
      <c r="B276" s="10">
        <f>_xlfn.CHISQ.DIST.RT(B274,B275)</f>
        <v/>
      </c>
    </row>
    <row r="277">
      <c r="A277" t="inlineStr">
        <is>
          <t>Significant at α=0.05?</t>
        </is>
      </c>
      <c r="B277" s="2">
        <f>IF(B276&lt;0.05,"YES - Significant","NO - Not Significant")</f>
        <v/>
      </c>
    </row>
    <row r="278">
      <c r="A278" t="inlineStr">
        <is>
          <t>Critical Value (α=0.05):</t>
        </is>
      </c>
      <c r="B278" s="10">
        <f>_xlfn.CHISQ.INV.RT(0.05,B275)</f>
        <v/>
      </c>
    </row>
    <row r="279">
      <c r="A279" t="inlineStr">
        <is>
          <t>Cramér's V (Effect Size):</t>
        </is>
      </c>
      <c r="B279" s="10">
        <f>SQRT(B274/(F257*MIN(4-1,4-1)))</f>
        <v/>
      </c>
    </row>
    <row r="280">
      <c r="A280" t="inlineStr">
        <is>
          <t>Effect Size Interpretation:</t>
        </is>
      </c>
      <c r="B280">
        <f>IF(B279&lt;0.1,"Negligible",IF(B279&lt;0.3,"Small",IF(B279&lt;0.5,"Medium","Large")))</f>
        <v/>
      </c>
    </row>
    <row r="283" ht="15.6" customHeight="1" s="61">
      <c r="A283" s="64" t="inlineStr">
        <is>
          <t>SUMMARY OF ALL CHI-SQUARE ANALYSES</t>
        </is>
      </c>
    </row>
    <row r="285">
      <c r="A285" s="6" t="inlineStr">
        <is>
          <t>Analysis</t>
        </is>
      </c>
      <c r="B285" s="6" t="inlineStr">
        <is>
          <t>Variables Compared</t>
        </is>
      </c>
      <c r="C285" s="6" t="inlineStr">
        <is>
          <t>χ²</t>
        </is>
      </c>
      <c r="D285" s="6" t="inlineStr">
        <is>
          <t>df</t>
        </is>
      </c>
      <c r="E285" s="6" t="inlineStr">
        <is>
          <t>P-value</t>
        </is>
      </c>
      <c r="F285" s="6" t="inlineStr">
        <is>
          <t>Significant?</t>
        </is>
      </c>
    </row>
    <row r="286">
      <c r="A286" t="n">
        <v>1</v>
      </c>
      <c r="B286" t="inlineStr">
        <is>
          <t>Gender vs Q15 (Thalassemia is blood disease)</t>
        </is>
      </c>
      <c r="C286" s="15">
        <f>B26</f>
        <v/>
      </c>
      <c r="D286">
        <f>B27</f>
        <v/>
      </c>
      <c r="E286" s="10">
        <f>B28</f>
        <v/>
      </c>
      <c r="F286">
        <f>B29</f>
        <v/>
      </c>
    </row>
    <row r="287">
      <c r="A287" t="n">
        <v>2</v>
      </c>
      <c r="B287" t="inlineStr">
        <is>
          <t>Gender vs Q21 (Can thalassemia be prevented)</t>
        </is>
      </c>
      <c r="C287" s="15">
        <f>B54</f>
        <v/>
      </c>
      <c r="D287">
        <f>B55</f>
        <v/>
      </c>
      <c r="E287" s="10">
        <f>B56</f>
        <v/>
      </c>
      <c r="F287">
        <f>B57</f>
        <v/>
      </c>
    </row>
    <row r="288">
      <c r="A288" t="n">
        <v>3</v>
      </c>
      <c r="B288" t="inlineStr">
        <is>
          <t>Gender vs Q31 (Accept carrier marriage)</t>
        </is>
      </c>
      <c r="C288" s="15">
        <f>B82</f>
        <v/>
      </c>
      <c r="D288">
        <f>B83</f>
        <v/>
      </c>
      <c r="E288" s="10">
        <f>B84</f>
        <v/>
      </c>
      <c r="F288">
        <f>B85</f>
        <v/>
      </c>
    </row>
    <row r="289" ht="15.6" customHeight="1" s="61">
      <c r="A289" s="74" t="n">
        <v>4</v>
      </c>
      <c r="B289" t="inlineStr">
        <is>
          <t>Education vs Q15 (Thalassemia is blood disease)</t>
        </is>
      </c>
      <c r="C289" s="15">
        <f>B116</f>
        <v/>
      </c>
      <c r="D289">
        <f>B117</f>
        <v/>
      </c>
      <c r="E289" s="10">
        <f>B118</f>
        <v/>
      </c>
      <c r="F289">
        <f>B119</f>
        <v/>
      </c>
    </row>
    <row r="290">
      <c r="A290" t="n">
        <v>5</v>
      </c>
      <c r="B290" t="inlineStr">
        <is>
          <t>Education vs Q19 (Requires lifelong treatment)</t>
        </is>
      </c>
      <c r="C290" s="15">
        <f>B150</f>
        <v/>
      </c>
      <c r="D290">
        <f>B151</f>
        <v/>
      </c>
      <c r="E290" s="10">
        <f>B152</f>
        <v/>
      </c>
      <c r="F290">
        <f>B153</f>
        <v/>
      </c>
    </row>
    <row r="291">
      <c r="A291" s="2" t="n">
        <v>6</v>
      </c>
      <c r="B291" t="inlineStr">
        <is>
          <t>Education vs Q21 (Can thalassemia be prevented)</t>
        </is>
      </c>
      <c r="C291" s="15">
        <f>B184</f>
        <v/>
      </c>
      <c r="D291">
        <f>B185</f>
        <v/>
      </c>
      <c r="E291" s="10">
        <f>B186</f>
        <v/>
      </c>
      <c r="F291">
        <f>B187</f>
        <v/>
      </c>
    </row>
    <row r="292">
      <c r="A292" t="n">
        <v>7</v>
      </c>
      <c r="B292" t="inlineStr">
        <is>
          <t>Marital Status vs Q30 (Consanguineous marriage)</t>
        </is>
      </c>
      <c r="C292" s="15">
        <f>B212</f>
        <v/>
      </c>
      <c r="D292">
        <f>B213</f>
        <v/>
      </c>
      <c r="E292" s="10">
        <f>B214</f>
        <v/>
      </c>
      <c r="F292">
        <f>B215</f>
        <v/>
      </c>
    </row>
    <row r="293">
      <c r="A293" t="n">
        <v>8</v>
      </c>
      <c r="B293" t="inlineStr">
        <is>
          <t>Marital Status vs Q35 (Family screening important)</t>
        </is>
      </c>
      <c r="C293" s="15">
        <f>B240</f>
        <v/>
      </c>
      <c r="D293">
        <f>B241</f>
        <v/>
      </c>
      <c r="E293" s="10">
        <f>B242</f>
        <v/>
      </c>
      <c r="F293">
        <f>B243</f>
        <v/>
      </c>
    </row>
    <row r="294">
      <c r="A294" t="n">
        <v>9</v>
      </c>
      <c r="B294" t="inlineStr">
        <is>
          <t>Education vs Q40 (Cascade screening importance)</t>
        </is>
      </c>
      <c r="C294" s="15">
        <f>B274</f>
        <v/>
      </c>
      <c r="D294">
        <f>B275</f>
        <v/>
      </c>
      <c r="E294" s="10">
        <f>B276</f>
        <v/>
      </c>
      <c r="F294">
        <f>B277</f>
        <v/>
      </c>
    </row>
    <row r="295">
      <c r="A295" t="inlineStr">
        <is>
          <t>Cramér's V Effect Size:</t>
        </is>
      </c>
    </row>
    <row r="296">
      <c r="A296" s="63" t="inlineStr">
        <is>
          <t>Note: 'YES - Significant' indicates p &lt; 0.05, meaning a statistically significant relationship exists.</t>
        </is>
      </c>
      <c r="B296" t="inlineStr">
        <is>
          <t>0.10-0.29: Small effect</t>
        </is>
      </c>
    </row>
    <row r="297">
      <c r="A297" t="inlineStr">
        <is>
          <t>0.30-0.49: Medium effect</t>
        </is>
      </c>
      <c r="B297" t="inlineStr">
        <is>
          <t>≥ 0.50: Large effect</t>
        </is>
      </c>
    </row>
    <row r="299">
      <c r="A299" s="2" t="inlineStr">
        <is>
          <t>Key Findings to Look For:</t>
        </is>
      </c>
    </row>
    <row r="300">
      <c r="A300" t="inlineStr">
        <is>
          <t>1. Does education level affect knowledge about thalassemia?</t>
        </is>
      </c>
    </row>
    <row r="301">
      <c r="A301" t="inlineStr">
        <is>
          <t>2. Is there a gender difference in attitudes toward carrier marriage?</t>
        </is>
      </c>
    </row>
    <row r="302">
      <c r="A302" t="inlineStr">
        <is>
          <t>3. Does marital status influence family screening attitudes?</t>
        </is>
      </c>
    </row>
    <row r="303">
      <c r="A303" t="inlineStr">
        <is>
          <t>4. Are more educated respondents better informed about prevention?</t>
        </is>
      </c>
    </row>
    <row r="304">
      <c r="A304" t="inlineStr">
        <is>
          <t>5. Is there an association between education and cascade screening importance?</t>
        </is>
      </c>
    </row>
    <row r="305">
      <c r="A305" t="inlineStr">
        <is>
          <t>6. Does gender affect understanding of thalassemia as a blood disease?</t>
        </is>
      </c>
    </row>
    <row r="308">
      <c r="A308" s="14" t="inlineStr">
        <is>
          <t>ASSUMPTIONS &amp; NOTES</t>
        </is>
      </c>
    </row>
    <row r="310">
      <c r="A310" t="inlineStr">
        <is>
          <t>• Chi-square test assumes expected frequencies ≥ 5 in each cell (may be violated with small samples)</t>
        </is>
      </c>
    </row>
    <row r="311">
      <c r="A311" t="inlineStr">
        <is>
          <t>• Missing values and blank responses are excluded from analysis</t>
        </is>
      </c>
    </row>
    <row r="312">
      <c r="A312" t="inlineStr">
        <is>
          <t>• All formulas are live - they will update if source data changes</t>
        </is>
      </c>
    </row>
    <row r="313">
      <c r="A313" t="inlineStr">
        <is>
          <t>• For small expected frequencies, consider Fisher's Exact Test (not available in Excel formulas)</t>
        </is>
      </c>
    </row>
    <row r="314">
      <c r="A314" t="inlineStr">
        <is>
          <t>• P-values are calculated using CHISQ.DIST.RT function</t>
        </is>
      </c>
    </row>
  </sheetData>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fitToPage="1"/>
  </sheetPr>
  <dimension ref="A1:I1029"/>
  <sheetViews>
    <sheetView tabSelected="1" workbookViewId="0">
      <pane ySplit="11" topLeftCell="A33" activePane="bottomLeft" state="frozen"/>
      <selection pane="bottomLeft" activeCell="C7" sqref="C7"/>
    </sheetView>
  </sheetViews>
  <sheetFormatPr baseColWidth="8" defaultRowHeight="14.45"/>
  <cols>
    <col width="37" customWidth="1" style="61" min="1" max="1"/>
    <col width="22.28515625" customWidth="1" style="61" min="2" max="2"/>
    <col width="18.5703125" customWidth="1" style="61" min="3" max="6"/>
    <col width="64.7109375" customWidth="1" style="61" min="7" max="7"/>
    <col width="18.5703125" customWidth="1" style="61" min="8" max="8"/>
    <col width="9.5703125" bestFit="1" customWidth="1" style="61" min="9" max="9"/>
  </cols>
  <sheetData>
    <row r="1" ht="21" customHeight="1" s="61">
      <c r="A1" s="18" t="inlineStr">
        <is>
          <t>COMPREHENSIVE CHI-SQUARE ANALYSIS - CATEGORY 1</t>
        </is>
      </c>
    </row>
    <row r="2" ht="15.6" customHeight="1" s="61">
      <c r="A2" s="19" t="inlineStr">
        <is>
          <t>Testing Associations Between Categorical Variables</t>
        </is>
      </c>
    </row>
    <row r="4">
      <c r="A4" t="inlineStr">
        <is>
          <t>This sheet contains 32 chi-square tests analyzing relationships between:</t>
        </is>
      </c>
    </row>
    <row r="5">
      <c r="A5" t="inlineStr">
        <is>
          <t>• Demographics (Gender, Education, Marital Status, Family History)</t>
        </is>
      </c>
      <c r="F5" t="inlineStr">
        <is>
          <t>`</t>
        </is>
      </c>
    </row>
    <row r="6">
      <c r="A6" t="inlineStr">
        <is>
          <t>• Knowledge Questions (Q15, Q19, Q21, Q22, Q24, Q25)</t>
        </is>
      </c>
    </row>
    <row r="7">
      <c r="A7" t="inlineStr">
        <is>
          <t>• Attitude Questions (Q30, Q31, Q35, Q36)</t>
        </is>
      </c>
    </row>
    <row r="9">
      <c r="A9" t="inlineStr">
        <is>
          <t>SUMMARY TABLE OF ALL RESULTS</t>
        </is>
      </c>
    </row>
    <row r="11">
      <c r="A11" s="20" t="inlineStr">
        <is>
          <t>#</t>
        </is>
      </c>
      <c r="B11" s="20" t="inlineStr">
        <is>
          <t>Independent Variable</t>
        </is>
      </c>
      <c r="C11" s="20" t="inlineStr">
        <is>
          <t>Dependent Variable</t>
        </is>
      </c>
      <c r="D11" s="20" t="inlineStr">
        <is>
          <t>χ² Statistic</t>
        </is>
      </c>
      <c r="E11" s="20" t="inlineStr">
        <is>
          <t>df</t>
        </is>
      </c>
      <c r="F11" s="20" t="inlineStr">
        <is>
          <t>P-value</t>
        </is>
      </c>
      <c r="G11" s="20" t="inlineStr">
        <is>
          <t>Significant (p&lt;0.05)?</t>
        </is>
      </c>
      <c r="H11" s="20" t="inlineStr">
        <is>
          <t>Cramér's V</t>
        </is>
      </c>
      <c r="I11" s="20" t="inlineStr">
        <is>
          <t>Effect Size</t>
        </is>
      </c>
    </row>
    <row r="12">
      <c r="A12" s="24" t="n">
        <v>1</v>
      </c>
      <c r="B12" s="24" t="inlineStr">
        <is>
          <t>Gender</t>
        </is>
      </c>
      <c r="C12" s="24" t="inlineStr">
        <is>
          <t>Q15 (Blood disease)</t>
        </is>
      </c>
      <c r="D12" s="24" t="n">
        <v>0.716</v>
      </c>
      <c r="E12" s="24" t="n">
        <v>2</v>
      </c>
      <c r="F12" s="24" t="n">
        <v>0.699</v>
      </c>
      <c r="G12" s="24" t="inlineStr">
        <is>
          <t>NO</t>
        </is>
      </c>
      <c r="H12" s="24" t="n">
        <v>0.06</v>
      </c>
      <c r="I12" s="24" t="inlineStr">
        <is>
          <t>Negligible</t>
        </is>
      </c>
    </row>
    <row r="13">
      <c r="A13" s="25" t="n">
        <v>2</v>
      </c>
      <c r="B13" s="25" t="inlineStr">
        <is>
          <t>Gender</t>
        </is>
      </c>
      <c r="C13" s="25" t="inlineStr">
        <is>
          <t>Q19 (Lifelong treatment)</t>
        </is>
      </c>
      <c r="D13" s="25" t="n">
        <v>6.922</v>
      </c>
      <c r="E13" s="25" t="n">
        <v>2</v>
      </c>
      <c r="F13" s="25" t="n">
        <v>0.0314</v>
      </c>
      <c r="G13" s="26" t="inlineStr">
        <is>
          <t>YES ✓</t>
        </is>
      </c>
      <c r="H13" s="25" t="n">
        <v>0.187</v>
      </c>
      <c r="I13" s="25" t="inlineStr">
        <is>
          <t>Small</t>
        </is>
      </c>
    </row>
    <row r="14">
      <c r="A14" s="24" t="n">
        <v>3</v>
      </c>
      <c r="B14" s="24" t="inlineStr">
        <is>
          <t>Gender</t>
        </is>
      </c>
      <c r="C14" s="24" t="inlineStr">
        <is>
          <t>Q21 (Prevention)</t>
        </is>
      </c>
      <c r="D14" s="24" t="n">
        <v>2.046</v>
      </c>
      <c r="E14" s="24" t="n">
        <v>2</v>
      </c>
      <c r="F14" s="24" t="n">
        <v>0.3595</v>
      </c>
      <c r="G14" s="24" t="inlineStr">
        <is>
          <t>NO</t>
        </is>
      </c>
      <c r="H14" s="24" t="n">
        <v>0.101</v>
      </c>
      <c r="I14" s="24" t="inlineStr">
        <is>
          <t>Small</t>
        </is>
      </c>
    </row>
    <row r="15">
      <c r="A15" s="24" t="n">
        <v>4</v>
      </c>
      <c r="B15" s="24" t="inlineStr">
        <is>
          <t>Gender</t>
        </is>
      </c>
      <c r="C15" s="24" t="inlineStr">
        <is>
          <t>Q22 (Transmission)</t>
        </is>
      </c>
      <c r="D15" s="24" t="n">
        <v>2.97</v>
      </c>
      <c r="E15" s="24" t="n">
        <v>2</v>
      </c>
      <c r="F15" s="24" t="n">
        <v>0.2265</v>
      </c>
      <c r="G15" s="24" t="inlineStr">
        <is>
          <t>NO</t>
        </is>
      </c>
      <c r="H15" s="24" t="n">
        <v>0.122</v>
      </c>
      <c r="I15" s="24" t="inlineStr">
        <is>
          <t>Small</t>
        </is>
      </c>
    </row>
    <row r="16">
      <c r="A16" s="24" t="n">
        <v>5</v>
      </c>
      <c r="B16" s="24" t="inlineStr">
        <is>
          <t>Gender</t>
        </is>
      </c>
      <c r="C16" s="24" t="inlineStr">
        <is>
          <t>Q24 (Child risk)</t>
        </is>
      </c>
      <c r="D16" s="24" t="n">
        <v>6.406</v>
      </c>
      <c r="E16" s="24" t="n">
        <v>3</v>
      </c>
      <c r="F16" s="24" t="n">
        <v>0.0934</v>
      </c>
      <c r="G16" s="24" t="inlineStr">
        <is>
          <t>NO</t>
        </is>
      </c>
      <c r="H16" s="24" t="n">
        <v>0.179</v>
      </c>
      <c r="I16" s="24" t="inlineStr">
        <is>
          <t>Small</t>
        </is>
      </c>
    </row>
    <row r="17">
      <c r="A17" s="24" t="n">
        <v>6</v>
      </c>
      <c r="B17" s="24" t="inlineStr">
        <is>
          <t>Gender</t>
        </is>
      </c>
      <c r="C17" s="24" t="inlineStr">
        <is>
          <t>Q25 (Counseling)</t>
        </is>
      </c>
      <c r="D17" s="24" t="inlineStr">
        <is>
          <t>N/A</t>
        </is>
      </c>
      <c r="E17" s="24" t="inlineStr">
        <is>
          <t>N/A</t>
        </is>
      </c>
      <c r="F17" s="24" t="inlineStr">
        <is>
          <t>N/A</t>
        </is>
      </c>
      <c r="G17" s="24" t="inlineStr">
        <is>
          <t>N/A</t>
        </is>
      </c>
      <c r="H17" s="24" t="inlineStr">
        <is>
          <t>N/A</t>
        </is>
      </c>
      <c r="I17" s="24" t="inlineStr">
        <is>
          <t>N/A</t>
        </is>
      </c>
    </row>
    <row r="18">
      <c r="A18" s="24" t="n">
        <v>7</v>
      </c>
      <c r="B18" s="24" t="inlineStr">
        <is>
          <t>Education</t>
        </is>
      </c>
      <c r="C18" s="24" t="inlineStr">
        <is>
          <t>Q15 (Blood disease)</t>
        </is>
      </c>
      <c r="D18" s="24" t="n">
        <v>11.712</v>
      </c>
      <c r="E18" s="24" t="n">
        <v>6</v>
      </c>
      <c r="F18" s="24" t="n">
        <v>0.0687</v>
      </c>
      <c r="G18" s="24" t="inlineStr">
        <is>
          <t>NO</t>
        </is>
      </c>
      <c r="H18" s="24" t="n">
        <v>0.172</v>
      </c>
      <c r="I18" s="24" t="inlineStr">
        <is>
          <t>Small</t>
        </is>
      </c>
    </row>
    <row r="19">
      <c r="A19" s="25" t="n">
        <v>8</v>
      </c>
      <c r="B19" s="25" t="inlineStr">
        <is>
          <t>Education</t>
        </is>
      </c>
      <c r="C19" s="25" t="inlineStr">
        <is>
          <t>Q19 (Lifelong treatment)</t>
        </is>
      </c>
      <c r="D19" s="25" t="n">
        <v>20.87</v>
      </c>
      <c r="E19" s="25" t="n">
        <v>6</v>
      </c>
      <c r="F19" s="25" t="n">
        <v>0.0019</v>
      </c>
      <c r="G19" s="26" t="inlineStr">
        <is>
          <t>YES ✓</t>
        </is>
      </c>
      <c r="H19" s="25" t="n">
        <v>0.23</v>
      </c>
      <c r="I19" s="25" t="inlineStr">
        <is>
          <t>Small</t>
        </is>
      </c>
    </row>
    <row r="20">
      <c r="A20" s="25" t="n">
        <v>9</v>
      </c>
      <c r="B20" s="25" t="inlineStr">
        <is>
          <t>Education</t>
        </is>
      </c>
      <c r="C20" s="25" t="inlineStr">
        <is>
          <t>Q21 (Prevention)</t>
        </is>
      </c>
      <c r="D20" s="25" t="n">
        <v>27.955</v>
      </c>
      <c r="E20" s="25" t="n">
        <v>6</v>
      </c>
      <c r="F20" s="25" t="inlineStr">
        <is>
          <t>&lt;0.0001</t>
        </is>
      </c>
      <c r="G20" s="26" t="inlineStr">
        <is>
          <t>YES ✓</t>
        </is>
      </c>
      <c r="H20" s="25" t="n">
        <v>0.265</v>
      </c>
      <c r="I20" s="25" t="inlineStr">
        <is>
          <t>Small</t>
        </is>
      </c>
    </row>
    <row r="21">
      <c r="A21" s="25" t="n">
        <v>10</v>
      </c>
      <c r="B21" s="25" t="inlineStr">
        <is>
          <t>Education</t>
        </is>
      </c>
      <c r="C21" s="25" t="inlineStr">
        <is>
          <t>Q22 (Transmission)</t>
        </is>
      </c>
      <c r="D21" s="25" t="n">
        <v>15.213</v>
      </c>
      <c r="E21" s="25" t="n">
        <v>6</v>
      </c>
      <c r="F21" s="25" t="n">
        <v>0.0187</v>
      </c>
      <c r="G21" s="26" t="inlineStr">
        <is>
          <t>YES ✓</t>
        </is>
      </c>
      <c r="H21" s="25" t="n">
        <v>0.196</v>
      </c>
      <c r="I21" s="25" t="inlineStr">
        <is>
          <t>Small</t>
        </is>
      </c>
    </row>
    <row r="22">
      <c r="A22" s="24" t="n">
        <v>11</v>
      </c>
      <c r="B22" s="24" t="inlineStr">
        <is>
          <t>Education</t>
        </is>
      </c>
      <c r="C22" s="24" t="inlineStr">
        <is>
          <t>Q24 (Child risk)</t>
        </is>
      </c>
      <c r="D22" s="24" t="n">
        <v>13.944</v>
      </c>
      <c r="E22" s="24" t="n">
        <v>9</v>
      </c>
      <c r="F22" s="24" t="n">
        <v>0.1243</v>
      </c>
      <c r="G22" s="24" t="inlineStr">
        <is>
          <t>NO</t>
        </is>
      </c>
      <c r="H22" s="24" t="n">
        <v>0.153</v>
      </c>
      <c r="I22" s="24" t="inlineStr">
        <is>
          <t>Small</t>
        </is>
      </c>
    </row>
    <row r="23">
      <c r="A23" s="24" t="n">
        <v>12</v>
      </c>
      <c r="B23" s="24" t="inlineStr">
        <is>
          <t>Education</t>
        </is>
      </c>
      <c r="C23" s="24" t="inlineStr">
        <is>
          <t>Q25 (Counseling)</t>
        </is>
      </c>
      <c r="D23" s="24" t="inlineStr">
        <is>
          <t>N/A</t>
        </is>
      </c>
      <c r="E23" s="24" t="inlineStr">
        <is>
          <t>N/A</t>
        </is>
      </c>
      <c r="F23" s="24" t="inlineStr">
        <is>
          <t>N/A</t>
        </is>
      </c>
      <c r="G23" s="24" t="inlineStr">
        <is>
          <t>N/A</t>
        </is>
      </c>
      <c r="H23" s="24" t="inlineStr">
        <is>
          <t>N/A</t>
        </is>
      </c>
      <c r="I23" s="24" t="inlineStr">
        <is>
          <t>N/A</t>
        </is>
      </c>
    </row>
    <row r="24">
      <c r="A24" s="24" t="n">
        <v>13</v>
      </c>
      <c r="B24" s="24" t="inlineStr">
        <is>
          <t>Marital Status</t>
        </is>
      </c>
      <c r="C24" s="24" t="inlineStr">
        <is>
          <t>Q15 (Blood disease)</t>
        </is>
      </c>
      <c r="D24" s="24" t="n">
        <v>2.699</v>
      </c>
      <c r="E24" s="24" t="n">
        <v>2</v>
      </c>
      <c r="F24" s="24" t="n">
        <v>0.2594</v>
      </c>
      <c r="G24" s="24" t="inlineStr">
        <is>
          <t>NO</t>
        </is>
      </c>
      <c r="H24" s="24" t="n">
        <v>0.116</v>
      </c>
      <c r="I24" s="24" t="inlineStr">
        <is>
          <t>Small</t>
        </is>
      </c>
    </row>
    <row r="25">
      <c r="A25" s="24" t="n">
        <v>14</v>
      </c>
      <c r="B25" s="24" t="inlineStr">
        <is>
          <t>Marital Status</t>
        </is>
      </c>
      <c r="C25" s="24" t="inlineStr">
        <is>
          <t>Q21 (Prevention)</t>
        </is>
      </c>
      <c r="D25" s="24" t="n">
        <v>5.64</v>
      </c>
      <c r="E25" s="24" t="n">
        <v>2</v>
      </c>
      <c r="F25" s="24" t="n">
        <v>0.0596</v>
      </c>
      <c r="G25" s="24" t="inlineStr">
        <is>
          <t>NO</t>
        </is>
      </c>
      <c r="H25" s="24" t="n">
        <v>0.168</v>
      </c>
      <c r="I25" s="24" t="inlineStr">
        <is>
          <t>Small</t>
        </is>
      </c>
    </row>
    <row r="26">
      <c r="A26" s="24" t="n">
        <v>15</v>
      </c>
      <c r="B26" s="24" t="inlineStr">
        <is>
          <t>Marital Status</t>
        </is>
      </c>
      <c r="C26" s="24" t="inlineStr">
        <is>
          <t>Q24 (Child risk)</t>
        </is>
      </c>
      <c r="D26" s="24" t="n">
        <v>2.966</v>
      </c>
      <c r="E26" s="24" t="n">
        <v>3</v>
      </c>
      <c r="F26" s="24" t="n">
        <v>0.3969</v>
      </c>
      <c r="G26" s="24" t="inlineStr">
        <is>
          <t>NO</t>
        </is>
      </c>
      <c r="H26" s="24" t="n">
        <v>0.121</v>
      </c>
      <c r="I26" s="24" t="inlineStr">
        <is>
          <t>Small</t>
        </is>
      </c>
    </row>
    <row r="27">
      <c r="A27" s="25" t="n">
        <v>16</v>
      </c>
      <c r="B27" s="25" t="inlineStr">
        <is>
          <t>Family History</t>
        </is>
      </c>
      <c r="C27" s="25" t="inlineStr">
        <is>
          <t>Q15 (Blood disease)</t>
        </is>
      </c>
      <c r="D27" s="25" t="n">
        <v>11.151</v>
      </c>
      <c r="E27" s="25" t="n">
        <v>4</v>
      </c>
      <c r="F27" s="25" t="n">
        <v>0.0249</v>
      </c>
      <c r="G27" s="26" t="inlineStr">
        <is>
          <t>YES ✓</t>
        </is>
      </c>
      <c r="H27" s="25" t="n">
        <v>0.168</v>
      </c>
      <c r="I27" s="25" t="inlineStr">
        <is>
          <t>Small</t>
        </is>
      </c>
    </row>
    <row r="28">
      <c r="A28" s="24" t="n">
        <v>17</v>
      </c>
      <c r="B28" s="24" t="inlineStr">
        <is>
          <t>Family History</t>
        </is>
      </c>
      <c r="C28" s="24" t="inlineStr">
        <is>
          <t>Q21 (Prevention)</t>
        </is>
      </c>
      <c r="D28" s="24" t="n">
        <v>3.524</v>
      </c>
      <c r="E28" s="24" t="n">
        <v>4</v>
      </c>
      <c r="F28" s="24" t="n">
        <v>0.4743</v>
      </c>
      <c r="G28" s="24" t="inlineStr">
        <is>
          <t>NO</t>
        </is>
      </c>
      <c r="H28" s="24" t="n">
        <v>0.094</v>
      </c>
      <c r="I28" s="24" t="inlineStr">
        <is>
          <t>Negligible</t>
        </is>
      </c>
    </row>
    <row r="29">
      <c r="A29" s="24" t="n">
        <v>18</v>
      </c>
      <c r="B29" s="24" t="inlineStr">
        <is>
          <t>Family History</t>
        </is>
      </c>
      <c r="C29" s="24" t="inlineStr">
        <is>
          <t>Q24 (Child risk)</t>
        </is>
      </c>
      <c r="D29" s="24" t="n">
        <v>3.738</v>
      </c>
      <c r="E29" s="24" t="n">
        <v>6</v>
      </c>
      <c r="F29" s="24" t="n">
        <v>0.7121</v>
      </c>
      <c r="G29" s="24" t="inlineStr">
        <is>
          <t>NO</t>
        </is>
      </c>
      <c r="H29" s="24" t="n">
        <v>0.097</v>
      </c>
      <c r="I29" s="24" t="inlineStr">
        <is>
          <t>Negligible</t>
        </is>
      </c>
    </row>
    <row r="30">
      <c r="A30" s="24" t="n">
        <v>19</v>
      </c>
      <c r="B30" s="24" t="inlineStr">
        <is>
          <t>Gender</t>
        </is>
      </c>
      <c r="C30" s="24" t="inlineStr">
        <is>
          <t>Q30 (Consanguineous)</t>
        </is>
      </c>
      <c r="D30" s="24" t="n">
        <v>4.259</v>
      </c>
      <c r="E30" s="24" t="n">
        <v>3</v>
      </c>
      <c r="F30" s="24" t="n">
        <v>0.2348</v>
      </c>
      <c r="G30" s="24" t="inlineStr">
        <is>
          <t>NO</t>
        </is>
      </c>
      <c r="H30" s="24" t="n">
        <v>0.146</v>
      </c>
      <c r="I30" s="24" t="inlineStr">
        <is>
          <t>Small</t>
        </is>
      </c>
    </row>
    <row r="31">
      <c r="A31" s="24" t="n">
        <v>20</v>
      </c>
      <c r="B31" s="24" t="inlineStr">
        <is>
          <t>Gender</t>
        </is>
      </c>
      <c r="C31" s="24" t="inlineStr">
        <is>
          <t>Q31 (Carrier marriage)</t>
        </is>
      </c>
      <c r="D31" s="24" t="n">
        <v>3.136</v>
      </c>
      <c r="E31" s="24" t="n">
        <v>2</v>
      </c>
      <c r="F31" s="24" t="n">
        <v>0.2084</v>
      </c>
      <c r="G31" s="24" t="inlineStr">
        <is>
          <t>NO</t>
        </is>
      </c>
      <c r="H31" s="24" t="n">
        <v>0.126</v>
      </c>
      <c r="I31" s="24" t="inlineStr">
        <is>
          <t>Small</t>
        </is>
      </c>
    </row>
    <row r="32">
      <c r="A32" s="24" t="n">
        <v>21</v>
      </c>
      <c r="B32" s="24" t="inlineStr">
        <is>
          <t>Gender</t>
        </is>
      </c>
      <c r="C32" s="24" t="inlineStr">
        <is>
          <t>Q35 (Family screening)</t>
        </is>
      </c>
      <c r="D32" s="24" t="n">
        <v>0.102</v>
      </c>
      <c r="E32" s="24" t="n">
        <v>2</v>
      </c>
      <c r="F32" s="24" t="n">
        <v>0.9500999999999999</v>
      </c>
      <c r="G32" s="24" t="inlineStr">
        <is>
          <t>NO</t>
        </is>
      </c>
      <c r="H32" s="24" t="n">
        <v>0.023</v>
      </c>
      <c r="I32" s="24" t="inlineStr">
        <is>
          <t>Negligible</t>
        </is>
      </c>
    </row>
    <row r="33">
      <c r="A33" s="24" t="n">
        <v>22</v>
      </c>
      <c r="B33" s="24" t="inlineStr">
        <is>
          <t>Gender</t>
        </is>
      </c>
      <c r="C33" s="24" t="inlineStr">
        <is>
          <t>Q36 (Status disclosure)</t>
        </is>
      </c>
      <c r="D33" s="24" t="n">
        <v>1.949</v>
      </c>
      <c r="E33" s="24" t="n">
        <v>1</v>
      </c>
      <c r="F33" s="24" t="n">
        <v>0.1627</v>
      </c>
      <c r="G33" s="24" t="inlineStr">
        <is>
          <t>NO</t>
        </is>
      </c>
      <c r="H33" s="24" t="n">
        <v>0.1</v>
      </c>
      <c r="I33" s="24" t="inlineStr">
        <is>
          <t>Negligible</t>
        </is>
      </c>
    </row>
    <row r="34">
      <c r="A34" s="25" t="n">
        <v>23</v>
      </c>
      <c r="B34" s="25" t="inlineStr">
        <is>
          <t>Education</t>
        </is>
      </c>
      <c r="C34" s="25" t="inlineStr">
        <is>
          <t>Q30 (Consanguineous)</t>
        </is>
      </c>
      <c r="D34" s="25" t="n">
        <v>17.884</v>
      </c>
      <c r="E34" s="25" t="n">
        <v>9</v>
      </c>
      <c r="F34" s="25" t="n">
        <v>0.0365</v>
      </c>
      <c r="G34" s="26" t="inlineStr">
        <is>
          <t>YES ✓</t>
        </is>
      </c>
      <c r="H34" s="25" t="n">
        <v>0.174</v>
      </c>
      <c r="I34" s="25" t="inlineStr">
        <is>
          <t>Small</t>
        </is>
      </c>
    </row>
    <row r="35">
      <c r="A35" s="24" t="n">
        <v>24</v>
      </c>
      <c r="B35" s="24" t="inlineStr">
        <is>
          <t>Education</t>
        </is>
      </c>
      <c r="C35" s="24" t="inlineStr">
        <is>
          <t>Q31 (Carrier marriage)</t>
        </is>
      </c>
      <c r="D35" s="24" t="n">
        <v>11.972</v>
      </c>
      <c r="E35" s="24" t="n">
        <v>6</v>
      </c>
      <c r="F35" s="24" t="n">
        <v>0.0626</v>
      </c>
      <c r="G35" s="24" t="inlineStr">
        <is>
          <t>NO</t>
        </is>
      </c>
      <c r="H35" s="24" t="n">
        <v>0.175</v>
      </c>
      <c r="I35" s="24" t="inlineStr">
        <is>
          <t>Small</t>
        </is>
      </c>
    </row>
    <row r="36">
      <c r="A36" s="24" t="n">
        <v>25</v>
      </c>
      <c r="B36" s="24" t="inlineStr">
        <is>
          <t>Education</t>
        </is>
      </c>
      <c r="C36" s="24" t="inlineStr">
        <is>
          <t>Q35 (Family screening)</t>
        </is>
      </c>
      <c r="D36" s="24" t="n">
        <v>2.201</v>
      </c>
      <c r="E36" s="24" t="n">
        <v>6</v>
      </c>
      <c r="F36" s="24" t="n">
        <v>0.9003</v>
      </c>
      <c r="G36" s="24" t="inlineStr">
        <is>
          <t>NO</t>
        </is>
      </c>
      <c r="H36" s="24" t="n">
        <v>0.075</v>
      </c>
      <c r="I36" s="24" t="inlineStr">
        <is>
          <t>Negligible</t>
        </is>
      </c>
    </row>
    <row r="37">
      <c r="A37" s="24" t="n">
        <v>26</v>
      </c>
      <c r="B37" s="24" t="inlineStr">
        <is>
          <t>Education</t>
        </is>
      </c>
      <c r="C37" s="24" t="inlineStr">
        <is>
          <t>Q36 (Status disclosure)</t>
        </is>
      </c>
      <c r="D37" s="24" t="n">
        <v>5.417</v>
      </c>
      <c r="E37" s="24" t="n">
        <v>3</v>
      </c>
      <c r="F37" s="24" t="n">
        <v>0.1437</v>
      </c>
      <c r="G37" s="24" t="inlineStr">
        <is>
          <t>NO</t>
        </is>
      </c>
      <c r="H37" s="24" t="n">
        <v>0.167</v>
      </c>
      <c r="I37" s="24" t="inlineStr">
        <is>
          <t>Small</t>
        </is>
      </c>
    </row>
    <row r="38">
      <c r="A38" s="24" t="n">
        <v>27</v>
      </c>
      <c r="B38" s="24" t="inlineStr">
        <is>
          <t>Marital Status</t>
        </is>
      </c>
      <c r="C38" s="24" t="inlineStr">
        <is>
          <t>Q30 (Consanguineous)</t>
        </is>
      </c>
      <c r="D38" s="24" t="n">
        <v>4.551</v>
      </c>
      <c r="E38" s="24" t="n">
        <v>3</v>
      </c>
      <c r="F38" s="24" t="n">
        <v>0.2078</v>
      </c>
      <c r="G38" s="24" t="inlineStr">
        <is>
          <t>NO</t>
        </is>
      </c>
      <c r="H38" s="24" t="n">
        <v>0.151</v>
      </c>
      <c r="I38" s="24" t="inlineStr">
        <is>
          <t>Small</t>
        </is>
      </c>
    </row>
    <row r="39">
      <c r="A39" s="24" t="n">
        <v>28</v>
      </c>
      <c r="B39" s="24" t="inlineStr">
        <is>
          <t>Marital Status</t>
        </is>
      </c>
      <c r="C39" s="24" t="inlineStr">
        <is>
          <t>Q31 (Carrier marriage)</t>
        </is>
      </c>
      <c r="D39" s="24" t="n">
        <v>3.62</v>
      </c>
      <c r="E39" s="24" t="n">
        <v>2</v>
      </c>
      <c r="F39" s="24" t="n">
        <v>0.1636</v>
      </c>
      <c r="G39" s="24" t="inlineStr">
        <is>
          <t>NO</t>
        </is>
      </c>
      <c r="H39" s="24" t="n">
        <v>0.135</v>
      </c>
      <c r="I39" s="24" t="inlineStr">
        <is>
          <t>Small</t>
        </is>
      </c>
    </row>
    <row r="40">
      <c r="A40" s="24" t="n">
        <v>29</v>
      </c>
      <c r="B40" s="24" t="inlineStr">
        <is>
          <t>Marital Status</t>
        </is>
      </c>
      <c r="C40" s="24" t="inlineStr">
        <is>
          <t>Q35 (Family screening)</t>
        </is>
      </c>
      <c r="D40" s="24" t="n">
        <v>1.617</v>
      </c>
      <c r="E40" s="24" t="n">
        <v>2</v>
      </c>
      <c r="F40" s="24" t="n">
        <v>0.4455</v>
      </c>
      <c r="G40" s="24" t="inlineStr">
        <is>
          <t>NO</t>
        </is>
      </c>
      <c r="H40" s="24" t="n">
        <v>0.09</v>
      </c>
      <c r="I40" s="24" t="inlineStr">
        <is>
          <t>Negligible</t>
        </is>
      </c>
    </row>
    <row r="41">
      <c r="A41" s="24" t="n">
        <v>30</v>
      </c>
      <c r="B41" s="24" t="inlineStr">
        <is>
          <t>Marital Status</t>
        </is>
      </c>
      <c r="C41" s="24" t="inlineStr">
        <is>
          <t>Q36 (Status disclosure)</t>
        </is>
      </c>
      <c r="D41" s="24" t="n">
        <v>0.216</v>
      </c>
      <c r="E41" s="24" t="n">
        <v>1</v>
      </c>
      <c r="F41" s="24" t="n">
        <v>0.6422</v>
      </c>
      <c r="G41" s="24" t="inlineStr">
        <is>
          <t>NO</t>
        </is>
      </c>
      <c r="H41" s="24" t="n">
        <v>0.033</v>
      </c>
      <c r="I41" s="24" t="inlineStr">
        <is>
          <t>Negligible</t>
        </is>
      </c>
    </row>
    <row r="42">
      <c r="A42" s="24" t="n">
        <v>31</v>
      </c>
      <c r="B42" s="24" t="inlineStr">
        <is>
          <t>Family History</t>
        </is>
      </c>
      <c r="C42" s="24" t="inlineStr">
        <is>
          <t>Q30 (Consanguineous)</t>
        </is>
      </c>
      <c r="D42" s="24" t="n">
        <v>4.765</v>
      </c>
      <c r="E42" s="24" t="n">
        <v>6</v>
      </c>
      <c r="F42" s="24" t="n">
        <v>0.5743</v>
      </c>
      <c r="G42" s="24" t="inlineStr">
        <is>
          <t>NO</t>
        </is>
      </c>
      <c r="H42" s="24" t="n">
        <v>0.11</v>
      </c>
      <c r="I42" s="24" t="inlineStr">
        <is>
          <t>Small</t>
        </is>
      </c>
    </row>
    <row r="43">
      <c r="A43" s="24" t="n">
        <v>32</v>
      </c>
      <c r="B43" s="24" t="inlineStr">
        <is>
          <t>Family History</t>
        </is>
      </c>
      <c r="C43" s="24" t="inlineStr">
        <is>
          <t>Q31 (Carrier marriage)</t>
        </is>
      </c>
      <c r="D43" s="24" t="n">
        <v>6.893</v>
      </c>
      <c r="E43" s="24" t="n">
        <v>4</v>
      </c>
      <c r="F43" s="24" t="n">
        <v>0.1417</v>
      </c>
      <c r="G43" s="24" t="inlineStr">
        <is>
          <t>NO</t>
        </is>
      </c>
      <c r="H43" s="24" t="n">
        <v>0.133</v>
      </c>
      <c r="I43" s="24" t="inlineStr">
        <is>
          <t>Small</t>
        </is>
      </c>
    </row>
    <row r="45" ht="15.6" customHeight="1" s="61">
      <c r="A45" s="28" t="inlineStr">
        <is>
          <t>STATISTICALLY SIGNIFICANT FINDINGS (p &lt; 0.05)</t>
        </is>
      </c>
    </row>
    <row r="46" ht="18" customHeight="1" s="61">
      <c r="A46" s="27" t="inlineStr">
        <is>
          <t>Total Significant Associations Found: 6 out of 32 (18.75%)</t>
        </is>
      </c>
    </row>
    <row r="48">
      <c r="A48" s="29" t="inlineStr">
        <is>
          <t>#</t>
        </is>
      </c>
      <c r="B48" s="29" t="inlineStr">
        <is>
          <t>Independent Variable</t>
        </is>
      </c>
      <c r="C48" s="29" t="inlineStr">
        <is>
          <t>Dependent Variable</t>
        </is>
      </c>
      <c r="D48" s="29" t="inlineStr">
        <is>
          <t>χ²</t>
        </is>
      </c>
      <c r="E48" s="29" t="inlineStr">
        <is>
          <t>P-value</t>
        </is>
      </c>
      <c r="F48" s="29" t="inlineStr">
        <is>
          <t>Cramér's V</t>
        </is>
      </c>
      <c r="G48" s="29" t="inlineStr">
        <is>
          <t>Interpretation</t>
        </is>
      </c>
    </row>
    <row r="49">
      <c r="A49" s="30" t="n">
        <v>2</v>
      </c>
      <c r="B49" s="30" t="inlineStr">
        <is>
          <t>Gender</t>
        </is>
      </c>
      <c r="C49" s="30" t="inlineStr">
        <is>
          <t>Q19 (Lifelong treatment)</t>
        </is>
      </c>
      <c r="D49" s="30" t="n">
        <v>6.922</v>
      </c>
      <c r="E49" s="30" t="n">
        <v>0.0314</v>
      </c>
      <c r="F49" s="30" t="n">
        <v>0.187</v>
      </c>
      <c r="G49" s="30" t="inlineStr">
        <is>
          <t>Males and females differ in knowledge about lifelong treatment requirements</t>
        </is>
      </c>
    </row>
    <row r="50">
      <c r="A50" s="31" t="n">
        <v>8</v>
      </c>
      <c r="B50" s="30" t="inlineStr">
        <is>
          <t>Education</t>
        </is>
      </c>
      <c r="C50" s="30" t="inlineStr">
        <is>
          <t>Q19 (Lifelong treatment)</t>
        </is>
      </c>
      <c r="D50" s="30" t="n">
        <v>20.87</v>
      </c>
      <c r="E50" s="30" t="n">
        <v>0.0019</v>
      </c>
      <c r="F50" s="30" t="n">
        <v>0.23</v>
      </c>
      <c r="G50" s="30" t="inlineStr">
        <is>
          <t>Higher education associated with better knowledge about treatment needs</t>
        </is>
      </c>
    </row>
    <row r="51">
      <c r="A51" s="31" t="n">
        <v>9</v>
      </c>
      <c r="B51" s="31" t="inlineStr">
        <is>
          <t>Education</t>
        </is>
      </c>
      <c r="C51" s="31" t="inlineStr">
        <is>
          <t>Q21 (Prevention)</t>
        </is>
      </c>
      <c r="D51" s="31" t="n">
        <v>27.955</v>
      </c>
      <c r="E51" s="31" t="inlineStr">
        <is>
          <t>&lt;0.0001</t>
        </is>
      </c>
      <c r="F51" s="30" t="n">
        <v>0.265</v>
      </c>
      <c r="G51" s="30" t="inlineStr">
        <is>
          <t>Education level strongly influences prevention knowledge</t>
        </is>
      </c>
    </row>
    <row r="52">
      <c r="A52" s="30" t="n">
        <v>10</v>
      </c>
      <c r="B52" s="30" t="inlineStr">
        <is>
          <t>Education</t>
        </is>
      </c>
      <c r="C52" s="30" t="inlineStr">
        <is>
          <t>Q22 (Transmission)</t>
        </is>
      </c>
      <c r="D52" s="30" t="n">
        <v>15.213</v>
      </c>
      <c r="E52" s="30" t="n">
        <v>0.0187</v>
      </c>
      <c r="F52" s="30" t="n">
        <v>0.196</v>
      </c>
      <c r="G52" s="30" t="inlineStr">
        <is>
          <t>Education affects understanding of how thalassemia is transmitted</t>
        </is>
      </c>
    </row>
    <row r="53">
      <c r="A53" s="30" t="n">
        <v>16</v>
      </c>
      <c r="B53" s="30" t="inlineStr">
        <is>
          <t>Family History</t>
        </is>
      </c>
      <c r="C53" s="30" t="inlineStr">
        <is>
          <t>Q15 (Blood disease)</t>
        </is>
      </c>
      <c r="D53" s="30" t="n">
        <v>11.151</v>
      </c>
      <c r="E53" s="30" t="n">
        <v>0.0249</v>
      </c>
      <c r="F53" s="30" t="n">
        <v>0.168</v>
      </c>
      <c r="G53" s="30" t="inlineStr">
        <is>
          <t>Those with family history have different basic knowledge levels</t>
        </is>
      </c>
    </row>
    <row r="54">
      <c r="A54" s="31" t="n">
        <v>23</v>
      </c>
      <c r="B54" s="31" t="inlineStr">
        <is>
          <t>Education</t>
        </is>
      </c>
      <c r="C54" s="31" t="inlineStr">
        <is>
          <t>Q30 (Consanguineous)</t>
        </is>
      </c>
      <c r="D54" s="31" t="n">
        <v>17.884</v>
      </c>
      <c r="E54" s="31" t="n">
        <v>0.0365</v>
      </c>
      <c r="F54" s="30" t="n">
        <v>0.174</v>
      </c>
      <c r="G54" s="30" t="inlineStr">
        <is>
          <t>Education influences attitudes toward consanguineous marriage</t>
        </is>
      </c>
    </row>
    <row r="56">
      <c r="A56" s="2" t="inlineStr">
        <is>
          <t>Expected Frequencies: E = (Row Total × Column Total) / Grand Total</t>
        </is>
      </c>
    </row>
    <row r="57">
      <c r="A57" s="2" t="n"/>
      <c r="B57" s="2" t="inlineStr">
        <is>
          <t>Don’t know</t>
        </is>
      </c>
      <c r="C57" s="2" t="inlineStr">
        <is>
          <t>No</t>
        </is>
      </c>
      <c r="D57" s="2" t="inlineStr">
        <is>
          <t>Yes</t>
        </is>
      </c>
    </row>
    <row r="58">
      <c r="A58" s="2" t="inlineStr">
        <is>
          <t>Female</t>
        </is>
      </c>
      <c r="B58">
        <f>(E52*B54)/E54</f>
        <v/>
      </c>
      <c r="C58">
        <f>(E52*C54)/E54</f>
        <v/>
      </c>
      <c r="D58">
        <f>(E52*D54)/E54</f>
        <v/>
      </c>
    </row>
    <row r="59">
      <c r="A59" s="2" t="inlineStr">
        <is>
          <t>Male</t>
        </is>
      </c>
      <c r="B59">
        <f>(E53*B54)/E54</f>
        <v/>
      </c>
      <c r="C59">
        <f>(E53*C54)/E54</f>
        <v/>
      </c>
      <c r="D59">
        <f>(E53*D54)/E54</f>
        <v/>
      </c>
    </row>
    <row r="62">
      <c r="A62" s="2" t="inlineStr">
        <is>
          <t>Chi-Square Components: (O - E)² / E</t>
        </is>
      </c>
    </row>
    <row r="63">
      <c r="A63" s="2" t="n"/>
      <c r="B63" s="2" t="inlineStr">
        <is>
          <t>Don’t know</t>
        </is>
      </c>
      <c r="C63" s="2" t="inlineStr">
        <is>
          <t>No</t>
        </is>
      </c>
      <c r="D63" s="2" t="inlineStr">
        <is>
          <t>Yes</t>
        </is>
      </c>
    </row>
    <row r="64">
      <c r="A64" t="inlineStr">
        <is>
          <t>Female</t>
        </is>
      </c>
      <c r="B64">
        <f>IF(B58&gt;0,POWER(B52-B58,2)/B58,0)</f>
        <v/>
      </c>
      <c r="C64">
        <f>IF(C58&gt;0,POWER(C52-C58,2)/C58,0)</f>
        <v/>
      </c>
      <c r="D64">
        <f>IF(D58&gt;0,POWER(D52-D58,2)/D58,0)</f>
        <v/>
      </c>
    </row>
    <row r="65">
      <c r="A65" t="inlineStr">
        <is>
          <t>Male</t>
        </is>
      </c>
      <c r="B65">
        <f>IF(B59&gt;0,POWER(B53-B59,2)/B59,0)</f>
        <v/>
      </c>
      <c r="C65">
        <f>IF(C59&gt;0,POWER(C53-C59,2)/C59,0)</f>
        <v/>
      </c>
      <c r="D65">
        <f>IF(D59&gt;0,POWER(D53-D59,2)/D59,0)</f>
        <v/>
      </c>
    </row>
    <row r="68">
      <c r="A68" s="9" t="inlineStr">
        <is>
          <t>Statistical Results</t>
        </is>
      </c>
    </row>
    <row r="69">
      <c r="A69" t="inlineStr">
        <is>
          <t>Chi-Square (χ²):</t>
        </is>
      </c>
      <c r="B69">
        <f>SUM(B64:D65)</f>
        <v/>
      </c>
    </row>
    <row r="70">
      <c r="A70" t="inlineStr">
        <is>
          <t>Degrees of Freedom:</t>
        </is>
      </c>
      <c r="B70" t="n">
        <v>2</v>
      </c>
    </row>
    <row r="71">
      <c r="A71" t="inlineStr">
        <is>
          <t>P-value:</t>
        </is>
      </c>
      <c r="B71">
        <f>_xlfn.CHISQ.DIST.RT(B69,2)</f>
        <v/>
      </c>
    </row>
    <row r="72">
      <c r="A72" t="inlineStr">
        <is>
          <t>Significant (p&lt;0.05)?</t>
        </is>
      </c>
      <c r="B72">
        <f>IF(B71&lt;0.05,"YES ✓","NO")</f>
        <v/>
      </c>
    </row>
    <row r="73">
      <c r="A73" t="inlineStr">
        <is>
          <t>Critical Value (α=0.05):</t>
        </is>
      </c>
      <c r="B73">
        <f>_xlfn.CHISQ.INV.RT(0.05,2)</f>
        <v/>
      </c>
    </row>
    <row r="74">
      <c r="A74" t="inlineStr">
        <is>
          <t>Cramér's V:</t>
        </is>
      </c>
      <c r="B74">
        <f>SQRT(B69/(200*1))</f>
        <v/>
      </c>
    </row>
    <row r="77">
      <c r="A77" s="6" t="inlineStr">
        <is>
          <t>ANALYSIS 2: Gender vs Q19 (Lifelong treatment)</t>
        </is>
      </c>
    </row>
    <row r="79">
      <c r="A79" s="2" t="inlineStr">
        <is>
          <t>Observed Frequencies</t>
        </is>
      </c>
    </row>
    <row r="80">
      <c r="A80" s="2" t="n"/>
      <c r="B80" s="2" t="inlineStr">
        <is>
          <t>Don’t know</t>
        </is>
      </c>
      <c r="C80" s="2" t="inlineStr">
        <is>
          <t>No</t>
        </is>
      </c>
      <c r="D80" s="2" t="inlineStr">
        <is>
          <t>Yes</t>
        </is>
      </c>
      <c r="E80" s="2" t="inlineStr">
        <is>
          <t>Row Total</t>
        </is>
      </c>
    </row>
    <row r="81">
      <c r="A81" t="inlineStr">
        <is>
          <t>Female</t>
        </is>
      </c>
      <c r="B81" t="n">
        <v>28</v>
      </c>
      <c r="C81" t="n">
        <v>4</v>
      </c>
      <c r="D81" t="n">
        <v>83</v>
      </c>
      <c r="E81" t="n">
        <v>115</v>
      </c>
    </row>
    <row r="82">
      <c r="A82" t="inlineStr">
        <is>
          <t>Male</t>
        </is>
      </c>
      <c r="B82" t="n">
        <v>31</v>
      </c>
      <c r="C82" t="n">
        <v>7</v>
      </c>
      <c r="D82" t="n">
        <v>46</v>
      </c>
      <c r="E82" t="n">
        <v>84</v>
      </c>
    </row>
    <row r="83">
      <c r="A83" s="2" t="inlineStr">
        <is>
          <t>Column Total</t>
        </is>
      </c>
      <c r="B83" s="2" t="n">
        <v>59</v>
      </c>
      <c r="C83" s="2" t="n">
        <v>11</v>
      </c>
      <c r="D83" s="2" t="n">
        <v>129</v>
      </c>
      <c r="E83" s="2" t="n">
        <v>199</v>
      </c>
    </row>
    <row r="85">
      <c r="A85" s="2" t="inlineStr">
        <is>
          <t>Expected Frequencies: E = (Row Total × Column Total) / Grand Total</t>
        </is>
      </c>
    </row>
    <row r="86">
      <c r="A86" s="2" t="n"/>
      <c r="B86" s="2" t="inlineStr">
        <is>
          <t>Don’t know</t>
        </is>
      </c>
      <c r="C86" s="2" t="inlineStr">
        <is>
          <t>No</t>
        </is>
      </c>
      <c r="D86" s="2" t="inlineStr">
        <is>
          <t>Yes</t>
        </is>
      </c>
    </row>
    <row r="87">
      <c r="A87" s="2" t="inlineStr">
        <is>
          <t>Female</t>
        </is>
      </c>
      <c r="B87">
        <f>(E81*B83)/E83</f>
        <v/>
      </c>
      <c r="C87">
        <f>(E81*C83)/E83</f>
        <v/>
      </c>
      <c r="D87">
        <f>(E81*D83)/E83</f>
        <v/>
      </c>
    </row>
    <row r="88">
      <c r="A88" s="2" t="inlineStr">
        <is>
          <t>Male</t>
        </is>
      </c>
      <c r="B88">
        <f>(E82*B83)/E83</f>
        <v/>
      </c>
      <c r="C88">
        <f>(E82*C83)/E83</f>
        <v/>
      </c>
      <c r="D88">
        <f>(E82*D83)/E83</f>
        <v/>
      </c>
    </row>
    <row r="91">
      <c r="A91" s="2" t="inlineStr">
        <is>
          <t>Chi-Square Components: (O - E)² / E</t>
        </is>
      </c>
    </row>
    <row r="92">
      <c r="A92" s="2" t="n"/>
      <c r="B92" s="2" t="inlineStr">
        <is>
          <t>Don’t know</t>
        </is>
      </c>
      <c r="C92" s="2" t="inlineStr">
        <is>
          <t>No</t>
        </is>
      </c>
      <c r="D92" s="2" t="inlineStr">
        <is>
          <t>Yes</t>
        </is>
      </c>
    </row>
    <row r="93">
      <c r="A93" t="inlineStr">
        <is>
          <t>Female</t>
        </is>
      </c>
      <c r="B93">
        <f>IF(B87&gt;0,POWER(B81-B87,2)/B87,0)</f>
        <v/>
      </c>
      <c r="C93">
        <f>IF(C87&gt;0,POWER(C81-C87,2)/C87,0)</f>
        <v/>
      </c>
      <c r="D93">
        <f>IF(D87&gt;0,POWER(D81-D87,2)/D87,0)</f>
        <v/>
      </c>
    </row>
    <row r="94">
      <c r="A94" t="inlineStr">
        <is>
          <t>Male</t>
        </is>
      </c>
      <c r="B94">
        <f>IF(B88&gt;0,POWER(B82-B88,2)/B88,0)</f>
        <v/>
      </c>
      <c r="C94">
        <f>IF(C88&gt;0,POWER(C82-C88,2)/C88,0)</f>
        <v/>
      </c>
      <c r="D94">
        <f>IF(D88&gt;0,POWER(D82-D88,2)/D88,0)</f>
        <v/>
      </c>
    </row>
    <row r="97">
      <c r="A97" s="9" t="inlineStr">
        <is>
          <t>Statistical Results</t>
        </is>
      </c>
    </row>
    <row r="98">
      <c r="A98" t="inlineStr">
        <is>
          <t>Chi-Square (χ²):</t>
        </is>
      </c>
      <c r="B98">
        <f>SUM(B93:D94)</f>
        <v/>
      </c>
    </row>
    <row r="99">
      <c r="A99" t="inlineStr">
        <is>
          <t>Degrees of Freedom:</t>
        </is>
      </c>
      <c r="B99" t="n">
        <v>2</v>
      </c>
    </row>
    <row r="100">
      <c r="A100" t="inlineStr">
        <is>
          <t>P-value:</t>
        </is>
      </c>
      <c r="B100">
        <f>_xlfn.CHISQ.DIST.RT(B98,2)</f>
        <v/>
      </c>
    </row>
    <row r="101">
      <c r="A101" t="inlineStr">
        <is>
          <t>Significant (p&lt;0.05)?</t>
        </is>
      </c>
      <c r="B101">
        <f>IF(B100&lt;0.05,"YES ✓","NO")</f>
        <v/>
      </c>
    </row>
    <row r="102">
      <c r="A102" t="inlineStr">
        <is>
          <t>Critical Value (α=0.05):</t>
        </is>
      </c>
      <c r="B102">
        <f>_xlfn.CHISQ.INV.RT(0.05,2)</f>
        <v/>
      </c>
    </row>
    <row r="103">
      <c r="A103" t="inlineStr">
        <is>
          <t>Cramér's V:</t>
        </is>
      </c>
      <c r="B103">
        <f>SQRT(B98/(199*1))</f>
        <v/>
      </c>
    </row>
    <row r="106">
      <c r="A106" s="6" t="inlineStr">
        <is>
          <t>ANALYSIS 3: Gender vs Q21 (Prevention)</t>
        </is>
      </c>
    </row>
    <row r="108">
      <c r="A108" s="2" t="inlineStr">
        <is>
          <t>Observed Frequencies</t>
        </is>
      </c>
    </row>
    <row r="109">
      <c r="A109" s="2" t="n"/>
      <c r="B109" s="2" t="inlineStr">
        <is>
          <t>Can be prevented</t>
        </is>
      </c>
      <c r="C109" s="2" t="inlineStr">
        <is>
          <t>Cannot be prevented</t>
        </is>
      </c>
      <c r="D109" s="2" t="inlineStr">
        <is>
          <t>Not sure</t>
        </is>
      </c>
      <c r="E109" s="2" t="inlineStr">
        <is>
          <t>Row Total</t>
        </is>
      </c>
    </row>
    <row r="110">
      <c r="A110" t="inlineStr">
        <is>
          <t>Female</t>
        </is>
      </c>
      <c r="B110" t="n">
        <v>90</v>
      </c>
      <c r="C110" t="n">
        <v>4</v>
      </c>
      <c r="D110" t="n">
        <v>21</v>
      </c>
      <c r="E110" t="n">
        <v>115</v>
      </c>
    </row>
    <row r="111">
      <c r="A111" t="inlineStr">
        <is>
          <t>Male</t>
        </is>
      </c>
      <c r="B111" t="n">
        <v>60</v>
      </c>
      <c r="C111" t="n">
        <v>6</v>
      </c>
      <c r="D111" t="n">
        <v>19</v>
      </c>
      <c r="E111" t="n">
        <v>85</v>
      </c>
    </row>
    <row r="112">
      <c r="A112" s="2" t="inlineStr">
        <is>
          <t>Column Total</t>
        </is>
      </c>
      <c r="B112" s="2" t="n">
        <v>150</v>
      </c>
      <c r="C112" s="2" t="n">
        <v>10</v>
      </c>
      <c r="D112" s="2" t="n">
        <v>40</v>
      </c>
      <c r="E112" s="2" t="n">
        <v>200</v>
      </c>
    </row>
    <row r="114">
      <c r="A114" s="2" t="inlineStr">
        <is>
          <t>Expected Frequencies: E = (Row Total × Column Total) / Grand Total</t>
        </is>
      </c>
    </row>
    <row r="115">
      <c r="A115" s="2" t="n"/>
      <c r="B115" s="2" t="inlineStr">
        <is>
          <t>Can be prevented</t>
        </is>
      </c>
      <c r="C115" s="2" t="inlineStr">
        <is>
          <t>Cannot be prevented</t>
        </is>
      </c>
      <c r="D115" s="2" t="inlineStr">
        <is>
          <t>Not sure</t>
        </is>
      </c>
    </row>
    <row r="116">
      <c r="A116" s="2" t="inlineStr">
        <is>
          <t>Female</t>
        </is>
      </c>
      <c r="B116">
        <f>(E110*B112)/E112</f>
        <v/>
      </c>
      <c r="C116">
        <f>(E110*C112)/E112</f>
        <v/>
      </c>
      <c r="D116">
        <f>(E110*D112)/E112</f>
        <v/>
      </c>
    </row>
    <row r="117">
      <c r="A117" s="2" t="inlineStr">
        <is>
          <t>Male</t>
        </is>
      </c>
      <c r="B117">
        <f>(E111*B112)/E112</f>
        <v/>
      </c>
      <c r="C117">
        <f>(E111*C112)/E112</f>
        <v/>
      </c>
      <c r="D117">
        <f>(E111*D112)/E112</f>
        <v/>
      </c>
    </row>
    <row r="120">
      <c r="A120" s="2" t="inlineStr">
        <is>
          <t>Chi-Square Components: (O - E)² / E</t>
        </is>
      </c>
    </row>
    <row r="121">
      <c r="A121" s="2" t="n"/>
      <c r="B121" s="2" t="inlineStr">
        <is>
          <t>Can be prevented</t>
        </is>
      </c>
      <c r="C121" s="2" t="inlineStr">
        <is>
          <t>Cannot be prevented</t>
        </is>
      </c>
      <c r="D121" s="2" t="inlineStr">
        <is>
          <t>Not sure</t>
        </is>
      </c>
    </row>
    <row r="122">
      <c r="A122" t="inlineStr">
        <is>
          <t>Female</t>
        </is>
      </c>
      <c r="B122">
        <f>IF(B116&gt;0,POWER(B110-B116,2)/B116,0)</f>
        <v/>
      </c>
      <c r="C122">
        <f>IF(C116&gt;0,POWER(C110-C116,2)/C116,0)</f>
        <v/>
      </c>
      <c r="D122">
        <f>IF(D116&gt;0,POWER(D110-D116,2)/D116,0)</f>
        <v/>
      </c>
    </row>
    <row r="123">
      <c r="A123" t="inlineStr">
        <is>
          <t>Male</t>
        </is>
      </c>
      <c r="B123">
        <f>IF(B117&gt;0,POWER(B111-B117,2)/B117,0)</f>
        <v/>
      </c>
      <c r="C123">
        <f>IF(C117&gt;0,POWER(C111-C117,2)/C117,0)</f>
        <v/>
      </c>
      <c r="D123">
        <f>IF(D117&gt;0,POWER(D111-D117,2)/D117,0)</f>
        <v/>
      </c>
    </row>
    <row r="126">
      <c r="A126" s="9" t="inlineStr">
        <is>
          <t>Statistical Results</t>
        </is>
      </c>
    </row>
    <row r="127">
      <c r="A127" t="inlineStr">
        <is>
          <t>Chi-Square (χ²):</t>
        </is>
      </c>
      <c r="B127">
        <f>SUM(B122:D123)</f>
        <v/>
      </c>
    </row>
    <row r="128">
      <c r="A128" t="inlineStr">
        <is>
          <t>Degrees of Freedom:</t>
        </is>
      </c>
      <c r="B128" t="n">
        <v>2</v>
      </c>
    </row>
    <row r="129">
      <c r="A129" t="inlineStr">
        <is>
          <t>P-value:</t>
        </is>
      </c>
      <c r="B129">
        <f>_xlfn.CHISQ.DIST.RT(B127,2)</f>
        <v/>
      </c>
    </row>
    <row r="130">
      <c r="A130" t="inlineStr">
        <is>
          <t>Significant (p&lt;0.05)?</t>
        </is>
      </c>
      <c r="B130">
        <f>IF(B129&lt;0.05,"YES ✓","NO")</f>
        <v/>
      </c>
    </row>
    <row r="131">
      <c r="A131" t="inlineStr">
        <is>
          <t>Critical Value (α=0.05):</t>
        </is>
      </c>
      <c r="B131">
        <f>_xlfn.CHISQ.INV.RT(0.05,2)</f>
        <v/>
      </c>
    </row>
    <row r="132">
      <c r="A132" t="inlineStr">
        <is>
          <t>Cramér's V:</t>
        </is>
      </c>
      <c r="B132">
        <f>SQRT(B127/(200*1))</f>
        <v/>
      </c>
    </row>
    <row r="135">
      <c r="A135" s="6" t="inlineStr">
        <is>
          <t>ANALYSIS 4: Gender vs Q22 (Transmission)</t>
        </is>
      </c>
    </row>
    <row r="137">
      <c r="A137" s="2" t="inlineStr">
        <is>
          <t>Observed Frequencies</t>
        </is>
      </c>
    </row>
    <row r="138">
      <c r="A138" s="2" t="n"/>
      <c r="B138" s="2" t="inlineStr">
        <is>
          <t>As a contagious disease</t>
        </is>
      </c>
      <c r="C138" s="2" t="inlineStr">
        <is>
          <t>Don’t know</t>
        </is>
      </c>
      <c r="D138" s="2" t="inlineStr">
        <is>
          <t>From generation to generation (hereditary)</t>
        </is>
      </c>
      <c r="E138" s="2" t="inlineStr">
        <is>
          <t>Row Total</t>
        </is>
      </c>
    </row>
    <row r="139">
      <c r="A139" t="inlineStr">
        <is>
          <t>Female</t>
        </is>
      </c>
      <c r="B139" t="n">
        <v>1</v>
      </c>
      <c r="C139" t="n">
        <v>14</v>
      </c>
      <c r="D139" t="n">
        <v>100</v>
      </c>
      <c r="E139" t="n">
        <v>115</v>
      </c>
    </row>
    <row r="140">
      <c r="A140" t="inlineStr">
        <is>
          <t>Male</t>
        </is>
      </c>
      <c r="B140" t="n">
        <v>0</v>
      </c>
      <c r="C140" t="n">
        <v>5</v>
      </c>
      <c r="D140" t="n">
        <v>79</v>
      </c>
      <c r="E140" t="n">
        <v>84</v>
      </c>
    </row>
    <row r="141">
      <c r="A141" s="2" t="inlineStr">
        <is>
          <t>Column Total</t>
        </is>
      </c>
      <c r="B141" s="2" t="n">
        <v>1</v>
      </c>
      <c r="C141" s="2" t="n">
        <v>19</v>
      </c>
      <c r="D141" s="2" t="n">
        <v>179</v>
      </c>
      <c r="E141" s="2" t="n">
        <v>199</v>
      </c>
    </row>
    <row r="143">
      <c r="A143" s="2" t="inlineStr">
        <is>
          <t>Expected Frequencies: E = (Row Total × Column Total) / Grand Total</t>
        </is>
      </c>
    </row>
    <row r="144">
      <c r="A144" s="2" t="n"/>
      <c r="B144" s="2" t="inlineStr">
        <is>
          <t>As a contagious disease</t>
        </is>
      </c>
      <c r="C144" s="2" t="inlineStr">
        <is>
          <t>Don’t know</t>
        </is>
      </c>
      <c r="D144" s="2" t="inlineStr">
        <is>
          <t>From generation to generation (hereditary)</t>
        </is>
      </c>
    </row>
    <row r="145">
      <c r="A145" s="2" t="inlineStr">
        <is>
          <t>Female</t>
        </is>
      </c>
      <c r="B145">
        <f>(E139*B141)/E141</f>
        <v/>
      </c>
      <c r="C145">
        <f>(E139*C141)/E141</f>
        <v/>
      </c>
      <c r="D145">
        <f>(E139*D141)/E141</f>
        <v/>
      </c>
    </row>
    <row r="146">
      <c r="A146" s="2" t="inlineStr">
        <is>
          <t>Male</t>
        </is>
      </c>
      <c r="B146">
        <f>(E140*B141)/E141</f>
        <v/>
      </c>
      <c r="C146">
        <f>(E140*C141)/E141</f>
        <v/>
      </c>
      <c r="D146">
        <f>(E140*D141)/E141</f>
        <v/>
      </c>
    </row>
    <row r="149">
      <c r="A149" s="2" t="inlineStr">
        <is>
          <t>Chi-Square Components: (O - E)² / E</t>
        </is>
      </c>
    </row>
    <row r="150">
      <c r="A150" s="2" t="n"/>
      <c r="B150" s="2" t="inlineStr">
        <is>
          <t>As a contagious disease</t>
        </is>
      </c>
      <c r="C150" s="2" t="inlineStr">
        <is>
          <t>Don’t know</t>
        </is>
      </c>
      <c r="D150" s="2" t="inlineStr">
        <is>
          <t>From generation to generation (hereditary)</t>
        </is>
      </c>
    </row>
    <row r="151">
      <c r="A151" t="inlineStr">
        <is>
          <t>Female</t>
        </is>
      </c>
      <c r="B151">
        <f>IF(B145&gt;0,POWER(B139-B145,2)/B145,0)</f>
        <v/>
      </c>
      <c r="C151">
        <f>IF(C145&gt;0,POWER(C139-C145,2)/C145,0)</f>
        <v/>
      </c>
      <c r="D151">
        <f>IF(D145&gt;0,POWER(D139-D145,2)/D145,0)</f>
        <v/>
      </c>
    </row>
    <row r="152">
      <c r="A152" t="inlineStr">
        <is>
          <t>Male</t>
        </is>
      </c>
      <c r="B152">
        <f>IF(B146&gt;0,POWER(B140-B146,2)/B146,0)</f>
        <v/>
      </c>
      <c r="C152">
        <f>IF(C146&gt;0,POWER(C140-C146,2)/C146,0)</f>
        <v/>
      </c>
      <c r="D152">
        <f>IF(D146&gt;0,POWER(D140-D146,2)/D146,0)</f>
        <v/>
      </c>
    </row>
    <row r="155">
      <c r="A155" s="9" t="inlineStr">
        <is>
          <t>Statistical Results</t>
        </is>
      </c>
    </row>
    <row r="156">
      <c r="A156" t="inlineStr">
        <is>
          <t>Chi-Square (χ²):</t>
        </is>
      </c>
      <c r="B156">
        <f>SUM(B151:D152)</f>
        <v/>
      </c>
    </row>
    <row r="157">
      <c r="A157" t="inlineStr">
        <is>
          <t>Degrees of Freedom:</t>
        </is>
      </c>
      <c r="B157" t="n">
        <v>2</v>
      </c>
    </row>
    <row r="158">
      <c r="A158" t="inlineStr">
        <is>
          <t>P-value:</t>
        </is>
      </c>
      <c r="B158">
        <f>_xlfn.CHISQ.DIST.RT(B156,2)</f>
        <v/>
      </c>
    </row>
    <row r="159">
      <c r="A159" t="inlineStr">
        <is>
          <t>Significant (p&lt;0.05)?</t>
        </is>
      </c>
      <c r="B159">
        <f>IF(B158&lt;0.05,"YES ✓","NO")</f>
        <v/>
      </c>
    </row>
    <row r="160">
      <c r="A160" t="inlineStr">
        <is>
          <t>Critical Value (α=0.05):</t>
        </is>
      </c>
      <c r="B160">
        <f>_xlfn.CHISQ.INV.RT(0.05,2)</f>
        <v/>
      </c>
    </row>
    <row r="161">
      <c r="A161" t="inlineStr">
        <is>
          <t>Cramér's V:</t>
        </is>
      </c>
      <c r="B161">
        <f>SQRT(B156/(199*1))</f>
        <v/>
      </c>
    </row>
    <row r="164">
      <c r="A164" s="6" t="inlineStr">
        <is>
          <t>ANALYSIS 5: Gender vs Q24 (Child risk)</t>
        </is>
      </c>
    </row>
    <row r="166">
      <c r="A166" s="2" t="inlineStr">
        <is>
          <t>Observed Frequencies</t>
        </is>
      </c>
    </row>
    <row r="167">
      <c r="A167" s="2" t="n"/>
      <c r="B167" s="2" t="inlineStr">
        <is>
          <t>40–100</t>
        </is>
      </c>
      <c r="C167" s="2" t="inlineStr">
        <is>
          <t>Don’t know</t>
        </is>
      </c>
      <c r="D167" s="2" t="inlineStr">
        <is>
          <t>More than this (&gt;100)</t>
        </is>
      </c>
      <c r="E167" s="2" t="inlineStr">
        <is>
          <t>Much less than this (&lt;40)</t>
        </is>
      </c>
      <c r="F167" s="2" t="inlineStr">
        <is>
          <t>Row Total</t>
        </is>
      </c>
    </row>
    <row r="168">
      <c r="A168" t="inlineStr">
        <is>
          <t>Female</t>
        </is>
      </c>
      <c r="B168" t="n">
        <v>2</v>
      </c>
      <c r="C168" t="n">
        <v>111</v>
      </c>
      <c r="D168" t="n">
        <v>0</v>
      </c>
      <c r="E168" t="n">
        <v>2</v>
      </c>
      <c r="F168" t="n">
        <v>115</v>
      </c>
    </row>
    <row r="169">
      <c r="A169" t="inlineStr">
        <is>
          <t>Male</t>
        </is>
      </c>
      <c r="B169" t="n">
        <v>6</v>
      </c>
      <c r="C169" t="n">
        <v>78</v>
      </c>
      <c r="D169" t="n">
        <v>1</v>
      </c>
      <c r="E169" t="n">
        <v>0</v>
      </c>
      <c r="F169" t="n">
        <v>85</v>
      </c>
    </row>
    <row r="170">
      <c r="A170" s="2" t="inlineStr">
        <is>
          <t>Column Total</t>
        </is>
      </c>
      <c r="B170" s="2" t="n">
        <v>8</v>
      </c>
      <c r="C170" s="2" t="n">
        <v>189</v>
      </c>
      <c r="D170" s="2" t="n">
        <v>1</v>
      </c>
      <c r="E170" s="2" t="n">
        <v>2</v>
      </c>
      <c r="F170" s="2" t="n">
        <v>200</v>
      </c>
    </row>
    <row r="172">
      <c r="A172" s="2" t="inlineStr">
        <is>
          <t>Expected Frequencies: E = (Row Total × Column Total) / Grand Total</t>
        </is>
      </c>
    </row>
    <row r="173">
      <c r="A173" s="2" t="n"/>
      <c r="B173" s="2" t="inlineStr">
        <is>
          <t>40–100</t>
        </is>
      </c>
      <c r="C173" s="2" t="inlineStr">
        <is>
          <t>Don’t know</t>
        </is>
      </c>
      <c r="D173" s="2" t="inlineStr">
        <is>
          <t>More than this (&gt;100)</t>
        </is>
      </c>
      <c r="E173" s="2" t="inlineStr">
        <is>
          <t>Much less than this (&lt;40)</t>
        </is>
      </c>
    </row>
    <row r="174">
      <c r="A174" s="2" t="inlineStr">
        <is>
          <t>Female</t>
        </is>
      </c>
      <c r="B174">
        <f>(F168*B170)/F170</f>
        <v/>
      </c>
      <c r="C174">
        <f>(F168*C170)/F170</f>
        <v/>
      </c>
      <c r="D174">
        <f>(F168*D170)/F170</f>
        <v/>
      </c>
      <c r="E174">
        <f>(F168*E170)/F170</f>
        <v/>
      </c>
    </row>
    <row r="175">
      <c r="A175" s="2" t="inlineStr">
        <is>
          <t>Male</t>
        </is>
      </c>
      <c r="B175">
        <f>(F169*B170)/F170</f>
        <v/>
      </c>
      <c r="C175">
        <f>(F169*C170)/F170</f>
        <v/>
      </c>
      <c r="D175">
        <f>(F169*D170)/F170</f>
        <v/>
      </c>
      <c r="E175">
        <f>(F169*E170)/F170</f>
        <v/>
      </c>
    </row>
    <row r="178">
      <c r="A178" s="2" t="inlineStr">
        <is>
          <t>Chi-Square Components: (O - E)² / E</t>
        </is>
      </c>
    </row>
    <row r="179">
      <c r="A179" s="2" t="n"/>
      <c r="B179" s="2" t="inlineStr">
        <is>
          <t>40–100</t>
        </is>
      </c>
      <c r="C179" s="2" t="inlineStr">
        <is>
          <t>Don’t know</t>
        </is>
      </c>
      <c r="D179" s="2" t="inlineStr">
        <is>
          <t>More than this (&gt;100)</t>
        </is>
      </c>
      <c r="E179" s="2" t="inlineStr">
        <is>
          <t>Much less than this (&lt;40)</t>
        </is>
      </c>
    </row>
    <row r="180">
      <c r="A180" t="inlineStr">
        <is>
          <t>Female</t>
        </is>
      </c>
      <c r="B180">
        <f>IF(B174&gt;0,POWER(B168-B174,2)/B174,0)</f>
        <v/>
      </c>
      <c r="C180">
        <f>IF(C174&gt;0,POWER(C168-C174,2)/C174,0)</f>
        <v/>
      </c>
      <c r="D180">
        <f>IF(D174&gt;0,POWER(D168-D174,2)/D174,0)</f>
        <v/>
      </c>
      <c r="E180">
        <f>IF(E174&gt;0,POWER(E168-E174,2)/E174,0)</f>
        <v/>
      </c>
    </row>
    <row r="181">
      <c r="A181" t="inlineStr">
        <is>
          <t>Male</t>
        </is>
      </c>
      <c r="B181">
        <f>IF(B175&gt;0,POWER(B169-B175,2)/B175,0)</f>
        <v/>
      </c>
      <c r="C181">
        <f>IF(C175&gt;0,POWER(C169-C175,2)/C175,0)</f>
        <v/>
      </c>
      <c r="D181">
        <f>IF(D175&gt;0,POWER(D169-D175,2)/D175,0)</f>
        <v/>
      </c>
      <c r="E181">
        <f>IF(E175&gt;0,POWER(E169-E175,2)/E175,0)</f>
        <v/>
      </c>
    </row>
    <row r="184">
      <c r="A184" s="9" t="inlineStr">
        <is>
          <t>Statistical Results</t>
        </is>
      </c>
    </row>
    <row r="185">
      <c r="A185" t="inlineStr">
        <is>
          <t>Chi-Square (χ²):</t>
        </is>
      </c>
      <c r="B185">
        <f>SUM(B180:E181)</f>
        <v/>
      </c>
    </row>
    <row r="186">
      <c r="A186" t="inlineStr">
        <is>
          <t>Degrees of Freedom:</t>
        </is>
      </c>
      <c r="B186" t="n">
        <v>3</v>
      </c>
    </row>
    <row r="187">
      <c r="A187" t="inlineStr">
        <is>
          <t>P-value:</t>
        </is>
      </c>
      <c r="B187">
        <f>_xlfn.CHISQ.DIST.RT(B185,3)</f>
        <v/>
      </c>
    </row>
    <row r="188">
      <c r="A188" t="inlineStr">
        <is>
          <t>Significant (p&lt;0.05)?</t>
        </is>
      </c>
      <c r="B188">
        <f>IF(B187&lt;0.05,"YES ✓","NO")</f>
        <v/>
      </c>
    </row>
    <row r="189">
      <c r="A189" t="inlineStr">
        <is>
          <t>Critical Value (α=0.05):</t>
        </is>
      </c>
      <c r="B189">
        <f>_xlfn.CHISQ.INV.RT(0.05,3)</f>
        <v/>
      </c>
    </row>
    <row r="190">
      <c r="A190" t="inlineStr">
        <is>
          <t>Cramér's V:</t>
        </is>
      </c>
      <c r="B190">
        <f>SQRT(B185/(200*1))</f>
        <v/>
      </c>
    </row>
    <row r="193">
      <c r="A193" s="6" t="inlineStr">
        <is>
          <t>ANALYSIS 7: Education vs Q15 (Blood disease)</t>
        </is>
      </c>
    </row>
    <row r="195">
      <c r="A195" s="2" t="inlineStr">
        <is>
          <t>Observed Frequencies</t>
        </is>
      </c>
    </row>
    <row r="196">
      <c r="A196" s="2" t="n"/>
      <c r="B196" s="2" t="inlineStr">
        <is>
          <t>Don’t know</t>
        </is>
      </c>
      <c r="C196" s="2" t="inlineStr">
        <is>
          <t>No</t>
        </is>
      </c>
      <c r="D196" s="2" t="inlineStr">
        <is>
          <t>Yes</t>
        </is>
      </c>
      <c r="E196" s="2" t="inlineStr">
        <is>
          <t>Row Total</t>
        </is>
      </c>
    </row>
    <row r="197">
      <c r="A197" t="inlineStr">
        <is>
          <t>Graduate</t>
        </is>
      </c>
      <c r="B197" t="n">
        <v>1</v>
      </c>
      <c r="C197" t="n">
        <v>0</v>
      </c>
      <c r="D197" t="n">
        <v>35</v>
      </c>
      <c r="E197" t="n">
        <v>36</v>
      </c>
    </row>
    <row r="198">
      <c r="A198" t="inlineStr">
        <is>
          <t>Undergraduate</t>
        </is>
      </c>
      <c r="B198" t="n">
        <v>1</v>
      </c>
      <c r="C198" t="n">
        <v>1</v>
      </c>
      <c r="D198" t="n">
        <v>41</v>
      </c>
      <c r="E198" t="n">
        <v>43</v>
      </c>
    </row>
    <row r="199">
      <c r="A199" t="inlineStr">
        <is>
          <t>Up to A/L</t>
        </is>
      </c>
      <c r="B199" t="n">
        <v>7</v>
      </c>
      <c r="C199" t="n">
        <v>3</v>
      </c>
      <c r="D199" t="n">
        <v>73</v>
      </c>
      <c r="E199" t="n">
        <v>83</v>
      </c>
    </row>
    <row r="200">
      <c r="A200" t="inlineStr">
        <is>
          <t>Up to O/L</t>
        </is>
      </c>
      <c r="B200" t="n">
        <v>7</v>
      </c>
      <c r="C200" t="n">
        <v>0</v>
      </c>
      <c r="D200" t="n">
        <v>30</v>
      </c>
      <c r="E200" t="n">
        <v>37</v>
      </c>
    </row>
    <row r="201">
      <c r="A201" s="2" t="inlineStr">
        <is>
          <t>Column Total</t>
        </is>
      </c>
      <c r="B201" s="2" t="n">
        <v>16</v>
      </c>
      <c r="C201" s="2" t="n">
        <v>4</v>
      </c>
      <c r="D201" s="2" t="n">
        <v>179</v>
      </c>
      <c r="E201" s="2" t="n">
        <v>199</v>
      </c>
    </row>
    <row r="203">
      <c r="A203" s="2" t="inlineStr">
        <is>
          <t>Expected Frequencies: E = (Row Total × Column Total) / Grand Total</t>
        </is>
      </c>
    </row>
    <row r="204">
      <c r="A204" s="2" t="n"/>
      <c r="B204" s="2" t="inlineStr">
        <is>
          <t>Don’t know</t>
        </is>
      </c>
      <c r="C204" s="2" t="inlineStr">
        <is>
          <t>No</t>
        </is>
      </c>
      <c r="D204" s="2" t="inlineStr">
        <is>
          <t>Yes</t>
        </is>
      </c>
    </row>
    <row r="205">
      <c r="A205" s="2" t="inlineStr">
        <is>
          <t>Graduate</t>
        </is>
      </c>
      <c r="B205">
        <f>(E197*B201)/E201</f>
        <v/>
      </c>
      <c r="C205">
        <f>(E197*C201)/E201</f>
        <v/>
      </c>
      <c r="D205">
        <f>(E197*D201)/E201</f>
        <v/>
      </c>
    </row>
    <row r="206">
      <c r="A206" s="2" t="inlineStr">
        <is>
          <t>Undergraduate</t>
        </is>
      </c>
      <c r="B206">
        <f>(E198*B201)/E201</f>
        <v/>
      </c>
      <c r="C206">
        <f>(E198*C201)/E201</f>
        <v/>
      </c>
      <c r="D206">
        <f>(E198*D201)/E201</f>
        <v/>
      </c>
    </row>
    <row r="207">
      <c r="A207" s="2" t="inlineStr">
        <is>
          <t>Up to A/L</t>
        </is>
      </c>
      <c r="B207">
        <f>(E199*B201)/E201</f>
        <v/>
      </c>
      <c r="C207">
        <f>(E199*C201)/E201</f>
        <v/>
      </c>
      <c r="D207">
        <f>(E199*D201)/E201</f>
        <v/>
      </c>
    </row>
    <row r="208">
      <c r="A208" s="2" t="inlineStr">
        <is>
          <t>Up to O/L</t>
        </is>
      </c>
      <c r="B208">
        <f>(E200*B201)/E201</f>
        <v/>
      </c>
      <c r="C208">
        <f>(E200*C201)/E201</f>
        <v/>
      </c>
      <c r="D208">
        <f>(E200*D201)/E201</f>
        <v/>
      </c>
    </row>
    <row r="211">
      <c r="A211" s="2" t="inlineStr">
        <is>
          <t>Chi-Square Components: (O - E)² / E</t>
        </is>
      </c>
    </row>
    <row r="212">
      <c r="A212" s="2" t="n"/>
      <c r="B212" s="2" t="inlineStr">
        <is>
          <t>Don’t know</t>
        </is>
      </c>
      <c r="C212" s="2" t="inlineStr">
        <is>
          <t>No</t>
        </is>
      </c>
      <c r="D212" s="2" t="inlineStr">
        <is>
          <t>Yes</t>
        </is>
      </c>
    </row>
    <row r="213">
      <c r="A213" t="inlineStr">
        <is>
          <t>Graduate</t>
        </is>
      </c>
      <c r="B213">
        <f>IF(B205&gt;0,POWER(B197-B205,2)/B205,0)</f>
        <v/>
      </c>
      <c r="C213">
        <f>IF(C205&gt;0,POWER(C197-C205,2)/C205,0)</f>
        <v/>
      </c>
      <c r="D213">
        <f>IF(D205&gt;0,POWER(D197-D205,2)/D205,0)</f>
        <v/>
      </c>
    </row>
    <row r="214">
      <c r="A214" t="inlineStr">
        <is>
          <t>Undergraduate</t>
        </is>
      </c>
      <c r="B214">
        <f>IF(B206&gt;0,POWER(B198-B206,2)/B206,0)</f>
        <v/>
      </c>
      <c r="C214">
        <f>IF(C206&gt;0,POWER(C198-C206,2)/C206,0)</f>
        <v/>
      </c>
      <c r="D214">
        <f>IF(D206&gt;0,POWER(D198-D206,2)/D206,0)</f>
        <v/>
      </c>
    </row>
    <row r="215">
      <c r="A215" t="inlineStr">
        <is>
          <t>Up to A/L</t>
        </is>
      </c>
      <c r="B215">
        <f>IF(B207&gt;0,POWER(B199-B207,2)/B207,0)</f>
        <v/>
      </c>
      <c r="C215">
        <f>IF(C207&gt;0,POWER(C199-C207,2)/C207,0)</f>
        <v/>
      </c>
      <c r="D215">
        <f>IF(D207&gt;0,POWER(D199-D207,2)/D207,0)</f>
        <v/>
      </c>
    </row>
    <row r="216">
      <c r="A216" t="inlineStr">
        <is>
          <t>Up to O/L</t>
        </is>
      </c>
      <c r="B216">
        <f>IF(B208&gt;0,POWER(B200-B208,2)/B208,0)</f>
        <v/>
      </c>
      <c r="C216">
        <f>IF(C208&gt;0,POWER(C200-C208,2)/C208,0)</f>
        <v/>
      </c>
      <c r="D216">
        <f>IF(D208&gt;0,POWER(D200-D208,2)/D208,0)</f>
        <v/>
      </c>
    </row>
    <row r="219">
      <c r="A219" s="9" t="inlineStr">
        <is>
          <t>Statistical Results</t>
        </is>
      </c>
    </row>
    <row r="220">
      <c r="A220" t="inlineStr">
        <is>
          <t>Chi-Square (χ²):</t>
        </is>
      </c>
      <c r="B220">
        <f>SUM(B213:D216)</f>
        <v/>
      </c>
    </row>
    <row r="221">
      <c r="A221" t="inlineStr">
        <is>
          <t>Degrees of Freedom:</t>
        </is>
      </c>
      <c r="B221" t="n">
        <v>6</v>
      </c>
    </row>
    <row r="222">
      <c r="A222" t="inlineStr">
        <is>
          <t>P-value:</t>
        </is>
      </c>
      <c r="B222">
        <f>_xlfn.CHISQ.DIST.RT(B220,6)</f>
        <v/>
      </c>
    </row>
    <row r="223">
      <c r="A223" t="inlineStr">
        <is>
          <t>Significant (p&lt;0.05)?</t>
        </is>
      </c>
      <c r="B223">
        <f>IF(B222&lt;0.05,"YES ✓","NO")</f>
        <v/>
      </c>
    </row>
    <row r="224">
      <c r="A224" t="inlineStr">
        <is>
          <t>Critical Value (α=0.05):</t>
        </is>
      </c>
      <c r="B224">
        <f>_xlfn.CHISQ.INV.RT(0.05,6)</f>
        <v/>
      </c>
    </row>
    <row r="225">
      <c r="A225" t="inlineStr">
        <is>
          <t>Cramér's V:</t>
        </is>
      </c>
      <c r="B225">
        <f>SQRT(B220/(199*2))</f>
        <v/>
      </c>
    </row>
    <row r="228">
      <c r="A228" s="6" t="inlineStr">
        <is>
          <t>ANALYSIS 8: Education vs Q19 (Lifelong treatment)</t>
        </is>
      </c>
    </row>
    <row r="230">
      <c r="A230" s="2" t="inlineStr">
        <is>
          <t>Observed Frequencies</t>
        </is>
      </c>
    </row>
    <row r="231">
      <c r="A231" s="2" t="n"/>
      <c r="B231" s="2" t="inlineStr">
        <is>
          <t>Don’t know</t>
        </is>
      </c>
      <c r="C231" s="2" t="inlineStr">
        <is>
          <t>No</t>
        </is>
      </c>
      <c r="D231" s="2" t="inlineStr">
        <is>
          <t>Yes</t>
        </is>
      </c>
      <c r="E231" s="2" t="inlineStr">
        <is>
          <t>Row Total</t>
        </is>
      </c>
    </row>
    <row r="232">
      <c r="A232" t="inlineStr">
        <is>
          <t>Graduate</t>
        </is>
      </c>
      <c r="B232" t="n">
        <v>6</v>
      </c>
      <c r="C232" t="n">
        <v>3</v>
      </c>
      <c r="D232" t="n">
        <v>27</v>
      </c>
      <c r="E232" t="n">
        <v>36</v>
      </c>
    </row>
    <row r="233">
      <c r="A233" t="inlineStr">
        <is>
          <t>Undergraduate</t>
        </is>
      </c>
      <c r="B233" t="n">
        <v>5</v>
      </c>
      <c r="C233" t="n">
        <v>1</v>
      </c>
      <c r="D233" t="n">
        <v>37</v>
      </c>
      <c r="E233" t="n">
        <v>43</v>
      </c>
    </row>
    <row r="234">
      <c r="A234" t="inlineStr">
        <is>
          <t>Up to A/L</t>
        </is>
      </c>
      <c r="B234" t="n">
        <v>30</v>
      </c>
      <c r="C234" t="n">
        <v>6</v>
      </c>
      <c r="D234" t="n">
        <v>46</v>
      </c>
      <c r="E234" t="n">
        <v>82</v>
      </c>
    </row>
    <row r="235">
      <c r="A235" t="inlineStr">
        <is>
          <t>Up to O/L</t>
        </is>
      </c>
      <c r="B235" t="n">
        <v>18</v>
      </c>
      <c r="C235" t="n">
        <v>1</v>
      </c>
      <c r="D235" t="n">
        <v>18</v>
      </c>
      <c r="E235" t="n">
        <v>37</v>
      </c>
    </row>
    <row r="236">
      <c r="A236" s="2" t="inlineStr">
        <is>
          <t>Column Total</t>
        </is>
      </c>
      <c r="B236" s="2" t="n">
        <v>59</v>
      </c>
      <c r="C236" s="2" t="n">
        <v>11</v>
      </c>
      <c r="D236" s="2" t="n">
        <v>128</v>
      </c>
      <c r="E236" s="2" t="n">
        <v>198</v>
      </c>
    </row>
    <row r="238">
      <c r="A238" s="2" t="inlineStr">
        <is>
          <t>Expected Frequencies: E = (Row Total × Column Total) / Grand Total</t>
        </is>
      </c>
    </row>
    <row r="239">
      <c r="A239" s="2" t="n"/>
      <c r="B239" s="2" t="inlineStr">
        <is>
          <t>Don’t know</t>
        </is>
      </c>
      <c r="C239" s="2" t="inlineStr">
        <is>
          <t>No</t>
        </is>
      </c>
      <c r="D239" s="2" t="inlineStr">
        <is>
          <t>Yes</t>
        </is>
      </c>
    </row>
    <row r="240">
      <c r="A240" s="2" t="inlineStr">
        <is>
          <t>Graduate</t>
        </is>
      </c>
      <c r="B240">
        <f>(E232*B236)/E236</f>
        <v/>
      </c>
      <c r="C240">
        <f>(E232*C236)/E236</f>
        <v/>
      </c>
      <c r="D240">
        <f>(E232*D236)/E236</f>
        <v/>
      </c>
    </row>
    <row r="241">
      <c r="A241" s="2" t="inlineStr">
        <is>
          <t>Undergraduate</t>
        </is>
      </c>
      <c r="B241">
        <f>(E233*B236)/E236</f>
        <v/>
      </c>
      <c r="C241">
        <f>(E233*C236)/E236</f>
        <v/>
      </c>
      <c r="D241">
        <f>(E233*D236)/E236</f>
        <v/>
      </c>
    </row>
    <row r="242">
      <c r="A242" s="2" t="inlineStr">
        <is>
          <t>Up to A/L</t>
        </is>
      </c>
      <c r="B242">
        <f>(E234*B236)/E236</f>
        <v/>
      </c>
      <c r="C242">
        <f>(E234*C236)/E236</f>
        <v/>
      </c>
      <c r="D242">
        <f>(E234*D236)/E236</f>
        <v/>
      </c>
    </row>
    <row r="243">
      <c r="A243" s="2" t="inlineStr">
        <is>
          <t>Up to O/L</t>
        </is>
      </c>
      <c r="B243">
        <f>(E235*B236)/E236</f>
        <v/>
      </c>
      <c r="C243">
        <f>(E235*C236)/E236</f>
        <v/>
      </c>
      <c r="D243">
        <f>(E235*D236)/E236</f>
        <v/>
      </c>
    </row>
    <row r="246">
      <c r="A246" s="2" t="inlineStr">
        <is>
          <t>Chi-Square Components: (O - E)² / E</t>
        </is>
      </c>
    </row>
    <row r="247">
      <c r="A247" s="2" t="n"/>
      <c r="B247" s="2" t="inlineStr">
        <is>
          <t>Don’t know</t>
        </is>
      </c>
      <c r="C247" s="2" t="inlineStr">
        <is>
          <t>No</t>
        </is>
      </c>
      <c r="D247" s="2" t="inlineStr">
        <is>
          <t>Yes</t>
        </is>
      </c>
    </row>
    <row r="248">
      <c r="A248" t="inlineStr">
        <is>
          <t>Graduate</t>
        </is>
      </c>
      <c r="B248">
        <f>IF(B240&gt;0,POWER(B232-B240,2)/B240,0)</f>
        <v/>
      </c>
      <c r="C248">
        <f>IF(C240&gt;0,POWER(C232-C240,2)/C240,0)</f>
        <v/>
      </c>
      <c r="D248">
        <f>IF(D240&gt;0,POWER(D232-D240,2)/D240,0)</f>
        <v/>
      </c>
    </row>
    <row r="249">
      <c r="A249" t="inlineStr">
        <is>
          <t>Undergraduate</t>
        </is>
      </c>
      <c r="B249">
        <f>IF(B241&gt;0,POWER(B233-B241,2)/B241,0)</f>
        <v/>
      </c>
      <c r="C249">
        <f>IF(C241&gt;0,POWER(C233-C241,2)/C241,0)</f>
        <v/>
      </c>
      <c r="D249">
        <f>IF(D241&gt;0,POWER(D233-D241,2)/D241,0)</f>
        <v/>
      </c>
    </row>
    <row r="250">
      <c r="A250" t="inlineStr">
        <is>
          <t>Up to A/L</t>
        </is>
      </c>
      <c r="B250">
        <f>IF(B242&gt;0,POWER(B234-B242,2)/B242,0)</f>
        <v/>
      </c>
      <c r="C250">
        <f>IF(C242&gt;0,POWER(C234-C242,2)/C242,0)</f>
        <v/>
      </c>
      <c r="D250">
        <f>IF(D242&gt;0,POWER(D234-D242,2)/D242,0)</f>
        <v/>
      </c>
    </row>
    <row r="251">
      <c r="A251" t="inlineStr">
        <is>
          <t>Up to O/L</t>
        </is>
      </c>
      <c r="B251">
        <f>IF(B243&gt;0,POWER(B235-B243,2)/B243,0)</f>
        <v/>
      </c>
      <c r="C251">
        <f>IF(C243&gt;0,POWER(C235-C243,2)/C243,0)</f>
        <v/>
      </c>
      <c r="D251">
        <f>IF(D243&gt;0,POWER(D235-D243,2)/D243,0)</f>
        <v/>
      </c>
    </row>
    <row r="254">
      <c r="A254" s="9" t="inlineStr">
        <is>
          <t>Statistical Results</t>
        </is>
      </c>
    </row>
    <row r="255">
      <c r="A255" t="inlineStr">
        <is>
          <t>Chi-Square (χ²):</t>
        </is>
      </c>
      <c r="B255">
        <f>SUM(B248:D251)</f>
        <v/>
      </c>
    </row>
    <row r="256">
      <c r="A256" t="inlineStr">
        <is>
          <t>Degrees of Freedom:</t>
        </is>
      </c>
      <c r="B256" t="n">
        <v>6</v>
      </c>
    </row>
    <row r="257">
      <c r="A257" t="inlineStr">
        <is>
          <t>P-value:</t>
        </is>
      </c>
      <c r="B257">
        <f>_xlfn.CHISQ.DIST.RT(B255,6)</f>
        <v/>
      </c>
    </row>
    <row r="258">
      <c r="A258" t="inlineStr">
        <is>
          <t>Significant (p&lt;0.05)?</t>
        </is>
      </c>
      <c r="B258">
        <f>IF(B257&lt;0.05,"YES ✓","NO")</f>
        <v/>
      </c>
    </row>
    <row r="259">
      <c r="A259" t="inlineStr">
        <is>
          <t>Critical Value (α=0.05):</t>
        </is>
      </c>
      <c r="B259">
        <f>_xlfn.CHISQ.INV.RT(0.05,6)</f>
        <v/>
      </c>
    </row>
    <row r="260">
      <c r="A260" t="inlineStr">
        <is>
          <t>Cramér's V:</t>
        </is>
      </c>
      <c r="B260">
        <f>SQRT(B255/(198*2))</f>
        <v/>
      </c>
    </row>
    <row r="265">
      <c r="A265" s="6" t="inlineStr">
        <is>
          <t>ANALYSIS 9: Education vs Q21 (Prevention)</t>
        </is>
      </c>
    </row>
    <row r="267">
      <c r="A267" s="2" t="inlineStr">
        <is>
          <t>Observed Frequencies</t>
        </is>
      </c>
    </row>
    <row r="268">
      <c r="A268" s="2" t="n"/>
      <c r="B268" s="2" t="inlineStr">
        <is>
          <t>Can be prevented</t>
        </is>
      </c>
      <c r="C268" s="2" t="inlineStr">
        <is>
          <t>Cannot be prevented</t>
        </is>
      </c>
      <c r="D268" s="2" t="inlineStr">
        <is>
          <t>Not sure</t>
        </is>
      </c>
      <c r="E268" s="2" t="inlineStr">
        <is>
          <t>Row Total</t>
        </is>
      </c>
    </row>
    <row r="269">
      <c r="A269" t="inlineStr">
        <is>
          <t>Graduate</t>
        </is>
      </c>
      <c r="B269" t="n">
        <v>29</v>
      </c>
      <c r="C269" t="n">
        <v>4</v>
      </c>
      <c r="D269" t="n">
        <v>3</v>
      </c>
      <c r="E269" t="n">
        <v>36</v>
      </c>
    </row>
    <row r="270">
      <c r="A270" t="inlineStr">
        <is>
          <t>Undergraduate</t>
        </is>
      </c>
      <c r="B270" t="n">
        <v>40</v>
      </c>
      <c r="C270" t="n">
        <v>3</v>
      </c>
      <c r="D270" t="n">
        <v>0</v>
      </c>
      <c r="E270" t="n">
        <v>43</v>
      </c>
    </row>
    <row r="271">
      <c r="A271" t="inlineStr">
        <is>
          <t>Up to A/L</t>
        </is>
      </c>
      <c r="B271" t="n">
        <v>57</v>
      </c>
      <c r="C271" t="n">
        <v>2</v>
      </c>
      <c r="D271" t="n">
        <v>24</v>
      </c>
      <c r="E271" t="n">
        <v>83</v>
      </c>
    </row>
    <row r="272">
      <c r="A272" t="inlineStr">
        <is>
          <t>Up to O/L</t>
        </is>
      </c>
      <c r="B272" t="n">
        <v>24</v>
      </c>
      <c r="C272" t="n">
        <v>0</v>
      </c>
      <c r="D272" t="n">
        <v>13</v>
      </c>
      <c r="E272" t="n">
        <v>37</v>
      </c>
    </row>
    <row r="273">
      <c r="A273" s="2" t="inlineStr">
        <is>
          <t>Column Total</t>
        </is>
      </c>
      <c r="B273" s="2" t="n">
        <v>150</v>
      </c>
      <c r="C273" s="2" t="n">
        <v>9</v>
      </c>
      <c r="D273" s="2" t="n">
        <v>40</v>
      </c>
      <c r="E273" s="2" t="n">
        <v>199</v>
      </c>
    </row>
    <row r="275">
      <c r="A275" s="2" t="inlineStr">
        <is>
          <t>Expected Frequencies</t>
        </is>
      </c>
    </row>
    <row r="276">
      <c r="A276" s="2" t="n"/>
      <c r="B276" s="2" t="inlineStr">
        <is>
          <t>Can be prevented</t>
        </is>
      </c>
      <c r="C276" s="2" t="inlineStr">
        <is>
          <t>Cannot be prevented</t>
        </is>
      </c>
      <c r="D276" s="2" t="inlineStr">
        <is>
          <t>Not sure</t>
        </is>
      </c>
    </row>
    <row r="277">
      <c r="A277" s="2" t="inlineStr">
        <is>
          <t>Graduate</t>
        </is>
      </c>
      <c r="B277">
        <f>(E269*B273)/E273</f>
        <v/>
      </c>
      <c r="C277">
        <f>(E269*C273)/E273</f>
        <v/>
      </c>
      <c r="D277">
        <f>(E269*D273)/E273</f>
        <v/>
      </c>
    </row>
    <row r="278">
      <c r="A278" s="2" t="inlineStr">
        <is>
          <t>Undergraduate</t>
        </is>
      </c>
      <c r="B278">
        <f>(E270*B273)/E273</f>
        <v/>
      </c>
      <c r="C278">
        <f>(E270*C273)/E273</f>
        <v/>
      </c>
      <c r="D278">
        <f>(E270*D273)/E273</f>
        <v/>
      </c>
    </row>
    <row r="279">
      <c r="A279" s="2" t="inlineStr">
        <is>
          <t>Up to A/L</t>
        </is>
      </c>
      <c r="B279">
        <f>(E271*B273)/E273</f>
        <v/>
      </c>
      <c r="C279">
        <f>(E271*C273)/E273</f>
        <v/>
      </c>
      <c r="D279">
        <f>(E271*D273)/E273</f>
        <v/>
      </c>
    </row>
    <row r="280">
      <c r="A280" s="2" t="inlineStr">
        <is>
          <t>Up to O/L</t>
        </is>
      </c>
      <c r="B280">
        <f>(E272*B273)/E273</f>
        <v/>
      </c>
      <c r="C280">
        <f>(E272*C273)/E273</f>
        <v/>
      </c>
      <c r="D280">
        <f>(E272*D273)/E273</f>
        <v/>
      </c>
    </row>
    <row r="283">
      <c r="A283" s="2" t="inlineStr">
        <is>
          <t>Chi-Square Components: (O - E)² / E</t>
        </is>
      </c>
    </row>
    <row r="284">
      <c r="A284" s="2" t="n"/>
      <c r="B284" s="2" t="inlineStr">
        <is>
          <t>Can be prevented</t>
        </is>
      </c>
      <c r="C284" s="2" t="inlineStr">
        <is>
          <t>Cannot be prevented</t>
        </is>
      </c>
      <c r="D284" s="2" t="inlineStr">
        <is>
          <t>Not sure</t>
        </is>
      </c>
    </row>
    <row r="285">
      <c r="A285" t="inlineStr">
        <is>
          <t>Graduate</t>
        </is>
      </c>
      <c r="B285">
        <f>IF(B277&gt;0,POWER(B269-B277,2)/B277,0)</f>
        <v/>
      </c>
      <c r="C285">
        <f>IF(C277&gt;0,POWER(C269-C277,2)/C277,0)</f>
        <v/>
      </c>
      <c r="D285">
        <f>IF(D277&gt;0,POWER(D269-D277,2)/D277,0)</f>
        <v/>
      </c>
    </row>
    <row r="286">
      <c r="A286" t="inlineStr">
        <is>
          <t>Undergraduate</t>
        </is>
      </c>
      <c r="B286">
        <f>IF(B278&gt;0,POWER(B270-B278,2)/B278,0)</f>
        <v/>
      </c>
      <c r="C286">
        <f>IF(C278&gt;0,POWER(C270-C278,2)/C278,0)</f>
        <v/>
      </c>
      <c r="D286">
        <f>IF(D278&gt;0,POWER(D270-D278,2)/D278,0)</f>
        <v/>
      </c>
    </row>
    <row r="287">
      <c r="A287" t="inlineStr">
        <is>
          <t>Up to A/L</t>
        </is>
      </c>
      <c r="B287">
        <f>IF(B279&gt;0,POWER(B271-B279,2)/B279,0)</f>
        <v/>
      </c>
      <c r="C287">
        <f>IF(C279&gt;0,POWER(C271-C279,2)/C279,0)</f>
        <v/>
      </c>
      <c r="D287">
        <f>IF(D279&gt;0,POWER(D271-D279,2)/D279,0)</f>
        <v/>
      </c>
    </row>
    <row r="288">
      <c r="A288" t="inlineStr">
        <is>
          <t>Up to O/L</t>
        </is>
      </c>
      <c r="B288">
        <f>IF(B280&gt;0,POWER(B272-B280,2)/B280,0)</f>
        <v/>
      </c>
      <c r="C288">
        <f>IF(C280&gt;0,POWER(C272-C280,2)/C280,0)</f>
        <v/>
      </c>
      <c r="D288">
        <f>IF(D280&gt;0,POWER(D272-D280,2)/D280,0)</f>
        <v/>
      </c>
    </row>
    <row r="291">
      <c r="A291" s="9" t="inlineStr">
        <is>
          <t>Statistical Results</t>
        </is>
      </c>
    </row>
    <row r="292">
      <c r="A292" t="inlineStr">
        <is>
          <t>Chi-Square (χ²):</t>
        </is>
      </c>
      <c r="B292">
        <f>SUM(B285:D288)</f>
        <v/>
      </c>
    </row>
    <row r="293">
      <c r="A293" t="inlineStr">
        <is>
          <t>Degrees of Freedom:</t>
        </is>
      </c>
      <c r="B293" t="n">
        <v>6</v>
      </c>
    </row>
    <row r="294">
      <c r="A294" t="inlineStr">
        <is>
          <t>P-value:</t>
        </is>
      </c>
      <c r="B294">
        <f>_xlfn.CHISQ.DIST.RT(B292,6)</f>
        <v/>
      </c>
    </row>
    <row r="295">
      <c r="A295" t="inlineStr">
        <is>
          <t>Significant (p&lt;0.05)?</t>
        </is>
      </c>
      <c r="B295">
        <f>IF(B294&lt;0.05,"YES ✓","NO")</f>
        <v/>
      </c>
    </row>
    <row r="296">
      <c r="A296" t="inlineStr">
        <is>
          <t>Critical Value (α=0.05):</t>
        </is>
      </c>
      <c r="B296">
        <f>_xlfn.CHISQ.INV.RT(0.05,6)</f>
        <v/>
      </c>
    </row>
    <row r="297">
      <c r="A297" t="inlineStr">
        <is>
          <t>Cramér's V:</t>
        </is>
      </c>
      <c r="B297">
        <f>SQRT(B292/(199*2))</f>
        <v/>
      </c>
    </row>
    <row r="300">
      <c r="A300" s="6" t="inlineStr">
        <is>
          <t>ANALYSIS 10: Education vs Q22 (Transmission)</t>
        </is>
      </c>
    </row>
    <row r="302">
      <c r="A302" s="2" t="inlineStr">
        <is>
          <t>Observed Frequencies</t>
        </is>
      </c>
    </row>
    <row r="303">
      <c r="A303" s="2" t="n"/>
      <c r="B303" s="2" t="inlineStr">
        <is>
          <t>As a contagious disease</t>
        </is>
      </c>
      <c r="C303" s="2" t="inlineStr">
        <is>
          <t>Don’t know</t>
        </is>
      </c>
      <c r="D303" s="2" t="inlineStr">
        <is>
          <t>From generation to generation (hereditary)</t>
        </is>
      </c>
      <c r="E303" s="2" t="inlineStr">
        <is>
          <t>Row Total</t>
        </is>
      </c>
    </row>
    <row r="304">
      <c r="A304" t="inlineStr">
        <is>
          <t>Graduate</t>
        </is>
      </c>
      <c r="B304" t="n">
        <v>1</v>
      </c>
      <c r="C304" t="n">
        <v>1</v>
      </c>
      <c r="D304" t="n">
        <v>33</v>
      </c>
      <c r="E304" t="n">
        <v>35</v>
      </c>
    </row>
    <row r="305">
      <c r="A305" t="inlineStr">
        <is>
          <t>Undergraduate</t>
        </is>
      </c>
      <c r="B305" t="n">
        <v>0</v>
      </c>
      <c r="C305" t="n">
        <v>0</v>
      </c>
      <c r="D305" t="n">
        <v>43</v>
      </c>
      <c r="E305" t="n">
        <v>43</v>
      </c>
    </row>
    <row r="306">
      <c r="A306" t="inlineStr">
        <is>
          <t>Up to A/L</t>
        </is>
      </c>
      <c r="B306" t="n">
        <v>0</v>
      </c>
      <c r="C306" t="n">
        <v>13</v>
      </c>
      <c r="D306" t="n">
        <v>69</v>
      </c>
      <c r="E306" t="n">
        <v>82</v>
      </c>
    </row>
    <row r="307">
      <c r="A307" t="inlineStr">
        <is>
          <t>Up to O/L</t>
        </is>
      </c>
      <c r="B307" t="n">
        <v>0</v>
      </c>
      <c r="C307" t="n">
        <v>5</v>
      </c>
      <c r="D307" t="n">
        <v>32</v>
      </c>
      <c r="E307" t="n">
        <v>37</v>
      </c>
    </row>
    <row r="308">
      <c r="A308" s="2" t="inlineStr">
        <is>
          <t>Column Total</t>
        </is>
      </c>
      <c r="B308" s="2" t="n">
        <v>1</v>
      </c>
      <c r="C308" s="2" t="n">
        <v>19</v>
      </c>
      <c r="D308" s="2" t="n">
        <v>177</v>
      </c>
      <c r="E308" s="2" t="n">
        <v>197</v>
      </c>
    </row>
    <row r="310">
      <c r="A310" s="2" t="inlineStr">
        <is>
          <t>Expected Frequencies</t>
        </is>
      </c>
    </row>
    <row r="311">
      <c r="A311" s="2" t="n"/>
      <c r="B311" s="2" t="inlineStr">
        <is>
          <t>As a contagious disease</t>
        </is>
      </c>
      <c r="C311" s="2" t="inlineStr">
        <is>
          <t>Don’t know</t>
        </is>
      </c>
      <c r="D311" s="2" t="inlineStr">
        <is>
          <t>From generation to generation (hereditary)</t>
        </is>
      </c>
    </row>
    <row r="312">
      <c r="A312" s="2" t="inlineStr">
        <is>
          <t>Graduate</t>
        </is>
      </c>
      <c r="B312">
        <f>(E304*B308)/E308</f>
        <v/>
      </c>
      <c r="C312">
        <f>(E304*C308)/E308</f>
        <v/>
      </c>
      <c r="D312">
        <f>(E304*D308)/E308</f>
        <v/>
      </c>
    </row>
    <row r="313">
      <c r="A313" s="2" t="inlineStr">
        <is>
          <t>Undergraduate</t>
        </is>
      </c>
      <c r="B313">
        <f>(E305*B308)/E308</f>
        <v/>
      </c>
      <c r="C313">
        <f>(E305*C308)/E308</f>
        <v/>
      </c>
      <c r="D313">
        <f>(E305*D308)/E308</f>
        <v/>
      </c>
    </row>
    <row r="314">
      <c r="A314" s="2" t="inlineStr">
        <is>
          <t>Up to A/L</t>
        </is>
      </c>
      <c r="B314">
        <f>(E306*B308)/E308</f>
        <v/>
      </c>
      <c r="C314">
        <f>(E306*C308)/E308</f>
        <v/>
      </c>
      <c r="D314">
        <f>(E306*D308)/E308</f>
        <v/>
      </c>
    </row>
    <row r="315">
      <c r="A315" s="2" t="inlineStr">
        <is>
          <t>Up to O/L</t>
        </is>
      </c>
      <c r="B315">
        <f>(E307*B308)/E308</f>
        <v/>
      </c>
      <c r="C315">
        <f>(E307*C308)/E308</f>
        <v/>
      </c>
      <c r="D315">
        <f>(E307*D308)/E308</f>
        <v/>
      </c>
    </row>
    <row r="318">
      <c r="A318" s="2" t="inlineStr">
        <is>
          <t>Chi-Square Components: (O - E)² / E</t>
        </is>
      </c>
    </row>
    <row r="319">
      <c r="A319" s="2" t="n"/>
      <c r="B319" s="2" t="inlineStr">
        <is>
          <t>As a contagious disease</t>
        </is>
      </c>
      <c r="C319" s="2" t="inlineStr">
        <is>
          <t>Don’t know</t>
        </is>
      </c>
      <c r="D319" s="2" t="inlineStr">
        <is>
          <t>From generation to generation (hereditary)</t>
        </is>
      </c>
    </row>
    <row r="320">
      <c r="A320" t="inlineStr">
        <is>
          <t>Graduate</t>
        </is>
      </c>
      <c r="B320">
        <f>IF(B312&gt;0,POWER(B304-B312,2)/B312,0)</f>
        <v/>
      </c>
      <c r="C320">
        <f>IF(C312&gt;0,POWER(C304-C312,2)/C312,0)</f>
        <v/>
      </c>
      <c r="D320">
        <f>IF(D312&gt;0,POWER(D304-D312,2)/D312,0)</f>
        <v/>
      </c>
    </row>
    <row r="321">
      <c r="A321" t="inlineStr">
        <is>
          <t>Undergraduate</t>
        </is>
      </c>
      <c r="B321">
        <f>IF(B313&gt;0,POWER(B305-B313,2)/B313,0)</f>
        <v/>
      </c>
      <c r="C321">
        <f>IF(C313&gt;0,POWER(C305-C313,2)/C313,0)</f>
        <v/>
      </c>
      <c r="D321">
        <f>IF(D313&gt;0,POWER(D305-D313,2)/D313,0)</f>
        <v/>
      </c>
    </row>
    <row r="322">
      <c r="A322" t="inlineStr">
        <is>
          <t>Up to A/L</t>
        </is>
      </c>
      <c r="B322">
        <f>IF(B314&gt;0,POWER(B306-B314,2)/B314,0)</f>
        <v/>
      </c>
      <c r="C322">
        <f>IF(C314&gt;0,POWER(C306-C314,2)/C314,0)</f>
        <v/>
      </c>
      <c r="D322">
        <f>IF(D314&gt;0,POWER(D306-D314,2)/D314,0)</f>
        <v/>
      </c>
    </row>
    <row r="323">
      <c r="A323" t="inlineStr">
        <is>
          <t>Up to O/L</t>
        </is>
      </c>
      <c r="B323">
        <f>IF(B315&gt;0,POWER(B307-B315,2)/B315,0)</f>
        <v/>
      </c>
      <c r="C323">
        <f>IF(C315&gt;0,POWER(C307-C315,2)/C315,0)</f>
        <v/>
      </c>
      <c r="D323">
        <f>IF(D315&gt;0,POWER(D307-D315,2)/D315,0)</f>
        <v/>
      </c>
    </row>
    <row r="326">
      <c r="A326" s="9" t="inlineStr">
        <is>
          <t>Statistical Results</t>
        </is>
      </c>
    </row>
    <row r="327">
      <c r="A327" t="inlineStr">
        <is>
          <t>Chi-Square (χ²):</t>
        </is>
      </c>
      <c r="B327">
        <f>SUM(B320:D323)</f>
        <v/>
      </c>
    </row>
    <row r="328">
      <c r="A328" t="inlineStr">
        <is>
          <t>Degrees of Freedom:</t>
        </is>
      </c>
      <c r="B328" t="n">
        <v>6</v>
      </c>
    </row>
    <row r="329">
      <c r="A329" t="inlineStr">
        <is>
          <t>P-value:</t>
        </is>
      </c>
      <c r="B329">
        <f>_xlfn.CHISQ.DIST.RT(B327,6)</f>
        <v/>
      </c>
    </row>
    <row r="330">
      <c r="A330" t="inlineStr">
        <is>
          <t>Significant (p&lt;0.05)?</t>
        </is>
      </c>
      <c r="B330">
        <f>IF(B329&lt;0.05,"YES ✓","NO")</f>
        <v/>
      </c>
    </row>
    <row r="331">
      <c r="A331" t="inlineStr">
        <is>
          <t>Critical Value (α=0.05):</t>
        </is>
      </c>
      <c r="B331">
        <f>_xlfn.CHISQ.INV.RT(0.05,6)</f>
        <v/>
      </c>
    </row>
    <row r="332">
      <c r="A332" t="inlineStr">
        <is>
          <t>Cramér's V:</t>
        </is>
      </c>
      <c r="B332">
        <f>SQRT(B327/(197*2))</f>
        <v/>
      </c>
    </row>
    <row r="335">
      <c r="A335" s="6" t="inlineStr">
        <is>
          <t>ANALYSIS 11: Education vs Q24 (Child risk)</t>
        </is>
      </c>
    </row>
    <row r="337">
      <c r="A337" s="2" t="inlineStr">
        <is>
          <t>Observed Frequencies</t>
        </is>
      </c>
    </row>
    <row r="338">
      <c r="A338" s="2" t="n"/>
      <c r="B338" s="2" t="inlineStr">
        <is>
          <t>40–100</t>
        </is>
      </c>
      <c r="C338" s="2" t="inlineStr">
        <is>
          <t>Don’t know</t>
        </is>
      </c>
      <c r="D338" s="2" t="inlineStr">
        <is>
          <t>More than this (&gt;100)</t>
        </is>
      </c>
      <c r="E338" s="2" t="inlineStr">
        <is>
          <t>Much less than this (&lt;40)</t>
        </is>
      </c>
      <c r="F338" s="2" t="inlineStr">
        <is>
          <t>Row Total</t>
        </is>
      </c>
    </row>
    <row r="339">
      <c r="A339" t="inlineStr">
        <is>
          <t>Graduate</t>
        </is>
      </c>
      <c r="B339" t="n">
        <v>1</v>
      </c>
      <c r="C339" t="n">
        <v>33</v>
      </c>
      <c r="D339" t="n">
        <v>0</v>
      </c>
      <c r="E339" t="n">
        <v>2</v>
      </c>
      <c r="F339" t="n">
        <v>36</v>
      </c>
    </row>
    <row r="340">
      <c r="A340" t="inlineStr">
        <is>
          <t>Undergraduate</t>
        </is>
      </c>
      <c r="B340" t="n">
        <v>2</v>
      </c>
      <c r="C340" t="n">
        <v>41</v>
      </c>
      <c r="D340" t="n">
        <v>0</v>
      </c>
      <c r="E340" t="n">
        <v>0</v>
      </c>
      <c r="F340" t="n">
        <v>43</v>
      </c>
    </row>
    <row r="341">
      <c r="A341" t="inlineStr">
        <is>
          <t>Up to A/L</t>
        </is>
      </c>
      <c r="B341" t="n">
        <v>4</v>
      </c>
      <c r="C341" t="n">
        <v>79</v>
      </c>
      <c r="D341" t="n">
        <v>0</v>
      </c>
      <c r="E341" t="n">
        <v>0</v>
      </c>
      <c r="F341" t="n">
        <v>83</v>
      </c>
    </row>
    <row r="342">
      <c r="A342" t="inlineStr">
        <is>
          <t>Up to O/L</t>
        </is>
      </c>
      <c r="B342" t="n">
        <v>1</v>
      </c>
      <c r="C342" t="n">
        <v>35</v>
      </c>
      <c r="D342" t="n">
        <v>1</v>
      </c>
      <c r="E342" t="n">
        <v>0</v>
      </c>
      <c r="F342" t="n">
        <v>37</v>
      </c>
    </row>
    <row r="343">
      <c r="A343" s="2" t="inlineStr">
        <is>
          <t>Column Total</t>
        </is>
      </c>
      <c r="B343" s="2" t="n">
        <v>8</v>
      </c>
      <c r="C343" s="2" t="n">
        <v>188</v>
      </c>
      <c r="D343" s="2" t="n">
        <v>1</v>
      </c>
      <c r="E343" s="2" t="n">
        <v>2</v>
      </c>
      <c r="F343" s="2" t="n">
        <v>199</v>
      </c>
    </row>
    <row r="345">
      <c r="A345" s="2" t="inlineStr">
        <is>
          <t>Expected Frequencies</t>
        </is>
      </c>
    </row>
    <row r="346">
      <c r="A346" s="2" t="n"/>
      <c r="B346" s="2" t="inlineStr">
        <is>
          <t>40–100</t>
        </is>
      </c>
      <c r="C346" s="2" t="inlineStr">
        <is>
          <t>Don’t know</t>
        </is>
      </c>
      <c r="D346" s="2" t="inlineStr">
        <is>
          <t>More than this (&gt;100)</t>
        </is>
      </c>
      <c r="E346" s="2" t="inlineStr">
        <is>
          <t>Much less than this (&lt;40)</t>
        </is>
      </c>
    </row>
    <row r="347">
      <c r="A347" s="2" t="inlineStr">
        <is>
          <t>Graduate</t>
        </is>
      </c>
      <c r="B347">
        <f>(F339*B343)/F343</f>
        <v/>
      </c>
      <c r="C347">
        <f>(F339*C343)/F343</f>
        <v/>
      </c>
      <c r="D347">
        <f>(F339*D343)/F343</f>
        <v/>
      </c>
      <c r="E347">
        <f>(F339*E343)/F343</f>
        <v/>
      </c>
    </row>
    <row r="348">
      <c r="A348" s="2" t="inlineStr">
        <is>
          <t>Undergraduate</t>
        </is>
      </c>
      <c r="B348">
        <f>(F340*B343)/F343</f>
        <v/>
      </c>
      <c r="C348">
        <f>(F340*C343)/F343</f>
        <v/>
      </c>
      <c r="D348">
        <f>(F340*D343)/F343</f>
        <v/>
      </c>
      <c r="E348">
        <f>(F340*E343)/F343</f>
        <v/>
      </c>
    </row>
    <row r="349">
      <c r="A349" s="2" t="inlineStr">
        <is>
          <t>Up to A/L</t>
        </is>
      </c>
      <c r="B349">
        <f>(F341*B343)/F343</f>
        <v/>
      </c>
      <c r="C349">
        <f>(F341*C343)/F343</f>
        <v/>
      </c>
      <c r="D349">
        <f>(F341*D343)/F343</f>
        <v/>
      </c>
      <c r="E349">
        <f>(F341*E343)/F343</f>
        <v/>
      </c>
    </row>
    <row r="350">
      <c r="A350" s="2" t="inlineStr">
        <is>
          <t>Up to O/L</t>
        </is>
      </c>
      <c r="B350">
        <f>(F342*B343)/F343</f>
        <v/>
      </c>
      <c r="C350">
        <f>(F342*C343)/F343</f>
        <v/>
      </c>
      <c r="D350">
        <f>(F342*D343)/F343</f>
        <v/>
      </c>
      <c r="E350">
        <f>(F342*E343)/F343</f>
        <v/>
      </c>
    </row>
    <row r="353">
      <c r="A353" s="2" t="inlineStr">
        <is>
          <t>Chi-Square Components: (O - E)² / E</t>
        </is>
      </c>
    </row>
    <row r="354">
      <c r="A354" s="2" t="n"/>
      <c r="B354" s="2" t="inlineStr">
        <is>
          <t>40–100</t>
        </is>
      </c>
      <c r="C354" s="2" t="inlineStr">
        <is>
          <t>Don’t know</t>
        </is>
      </c>
      <c r="D354" s="2" t="inlineStr">
        <is>
          <t>More than this (&gt;100)</t>
        </is>
      </c>
      <c r="E354" s="2" t="inlineStr">
        <is>
          <t>Much less than this (&lt;40)</t>
        </is>
      </c>
    </row>
    <row r="355">
      <c r="A355" t="inlineStr">
        <is>
          <t>Graduate</t>
        </is>
      </c>
      <c r="B355">
        <f>IF(B347&gt;0,POWER(B339-B347,2)/B347,0)</f>
        <v/>
      </c>
      <c r="C355">
        <f>IF(C347&gt;0,POWER(C339-C347,2)/C347,0)</f>
        <v/>
      </c>
      <c r="D355">
        <f>IF(D347&gt;0,POWER(D339-D347,2)/D347,0)</f>
        <v/>
      </c>
      <c r="E355">
        <f>IF(E347&gt;0,POWER(E339-E347,2)/E347,0)</f>
        <v/>
      </c>
    </row>
    <row r="356">
      <c r="A356" t="inlineStr">
        <is>
          <t>Undergraduate</t>
        </is>
      </c>
      <c r="B356">
        <f>IF(B348&gt;0,POWER(B340-B348,2)/B348,0)</f>
        <v/>
      </c>
      <c r="C356">
        <f>IF(C348&gt;0,POWER(C340-C348,2)/C348,0)</f>
        <v/>
      </c>
      <c r="D356">
        <f>IF(D348&gt;0,POWER(D340-D348,2)/D348,0)</f>
        <v/>
      </c>
      <c r="E356">
        <f>IF(E348&gt;0,POWER(E340-E348,2)/E348,0)</f>
        <v/>
      </c>
    </row>
    <row r="357">
      <c r="A357" t="inlineStr">
        <is>
          <t>Up to A/L</t>
        </is>
      </c>
      <c r="B357">
        <f>IF(B349&gt;0,POWER(B341-B349,2)/B349,0)</f>
        <v/>
      </c>
      <c r="C357">
        <f>IF(C349&gt;0,POWER(C341-C349,2)/C349,0)</f>
        <v/>
      </c>
      <c r="D357">
        <f>IF(D349&gt;0,POWER(D341-D349,2)/D349,0)</f>
        <v/>
      </c>
      <c r="E357">
        <f>IF(E349&gt;0,POWER(E341-E349,2)/E349,0)</f>
        <v/>
      </c>
    </row>
    <row r="358">
      <c r="A358" t="inlineStr">
        <is>
          <t>Up to O/L</t>
        </is>
      </c>
      <c r="B358">
        <f>IF(B350&gt;0,POWER(B342-B350,2)/B350,0)</f>
        <v/>
      </c>
      <c r="C358">
        <f>IF(C350&gt;0,POWER(C342-C350,2)/C350,0)</f>
        <v/>
      </c>
      <c r="D358">
        <f>IF(D350&gt;0,POWER(D342-D350,2)/D350,0)</f>
        <v/>
      </c>
      <c r="E358">
        <f>IF(E350&gt;0,POWER(E342-E350,2)/E350,0)</f>
        <v/>
      </c>
    </row>
    <row r="361">
      <c r="A361" s="9" t="inlineStr">
        <is>
          <t>Statistical Results</t>
        </is>
      </c>
    </row>
    <row r="362">
      <c r="A362" t="inlineStr">
        <is>
          <t>Chi-Square (χ²):</t>
        </is>
      </c>
      <c r="B362">
        <f>SUM(B355:E358)</f>
        <v/>
      </c>
    </row>
    <row r="363">
      <c r="A363" t="inlineStr">
        <is>
          <t>Degrees of Freedom:</t>
        </is>
      </c>
      <c r="B363" t="n">
        <v>9</v>
      </c>
    </row>
    <row r="364">
      <c r="A364" t="inlineStr">
        <is>
          <t>P-value:</t>
        </is>
      </c>
      <c r="B364">
        <f>_xlfn.CHISQ.DIST.RT(B362,9)</f>
        <v/>
      </c>
    </row>
    <row r="365">
      <c r="A365" t="inlineStr">
        <is>
          <t>Significant (p&lt;0.05)?</t>
        </is>
      </c>
      <c r="B365">
        <f>IF(B364&lt;0.05,"YES ✓","NO")</f>
        <v/>
      </c>
    </row>
    <row r="366">
      <c r="A366" t="inlineStr">
        <is>
          <t>Critical Value (α=0.05):</t>
        </is>
      </c>
      <c r="B366">
        <f>_xlfn.CHISQ.INV.RT(0.05,9)</f>
        <v/>
      </c>
    </row>
    <row r="367">
      <c r="A367" t="inlineStr">
        <is>
          <t>Cramér's V:</t>
        </is>
      </c>
      <c r="B367">
        <f>SQRT(B362/(199*3))</f>
        <v/>
      </c>
    </row>
    <row r="370">
      <c r="A370" s="6" t="inlineStr">
        <is>
          <t>ANALYSIS 13: Marital Status vs Q15 (Blood disease)</t>
        </is>
      </c>
    </row>
    <row r="372">
      <c r="A372" s="2" t="inlineStr">
        <is>
          <t>Observed Frequencies</t>
        </is>
      </c>
    </row>
    <row r="373">
      <c r="A373" s="2" t="n"/>
      <c r="B373" s="2" t="inlineStr">
        <is>
          <t>Don’t know</t>
        </is>
      </c>
      <c r="C373" s="2" t="inlineStr">
        <is>
          <t>No</t>
        </is>
      </c>
      <c r="D373" s="2" t="inlineStr">
        <is>
          <t>Yes</t>
        </is>
      </c>
      <c r="E373" s="2" t="inlineStr">
        <is>
          <t>Row Total</t>
        </is>
      </c>
    </row>
    <row r="374">
      <c r="A374" t="inlineStr">
        <is>
          <t>Married</t>
        </is>
      </c>
      <c r="B374" t="n">
        <v>7</v>
      </c>
      <c r="C374" t="n">
        <v>0</v>
      </c>
      <c r="D374" t="n">
        <v>63</v>
      </c>
      <c r="E374" t="n">
        <v>70</v>
      </c>
    </row>
    <row r="375">
      <c r="A375" t="inlineStr">
        <is>
          <t>Single</t>
        </is>
      </c>
      <c r="B375" t="n">
        <v>9</v>
      </c>
      <c r="C375" t="n">
        <v>4</v>
      </c>
      <c r="D375" t="n">
        <v>118</v>
      </c>
      <c r="E375" t="n">
        <v>131</v>
      </c>
    </row>
    <row r="376">
      <c r="A376" s="2" t="inlineStr">
        <is>
          <t>Column Total</t>
        </is>
      </c>
      <c r="B376" s="2" t="n">
        <v>16</v>
      </c>
      <c r="C376" s="2" t="n">
        <v>4</v>
      </c>
      <c r="D376" s="2" t="n">
        <v>181</v>
      </c>
      <c r="E376" s="2" t="n">
        <v>201</v>
      </c>
    </row>
    <row r="378">
      <c r="A378" s="2" t="inlineStr">
        <is>
          <t>Expected Frequencies</t>
        </is>
      </c>
    </row>
    <row r="379">
      <c r="A379" s="2" t="n"/>
      <c r="B379" s="2" t="inlineStr">
        <is>
          <t>Don’t know</t>
        </is>
      </c>
      <c r="C379" s="2" t="inlineStr">
        <is>
          <t>No</t>
        </is>
      </c>
      <c r="D379" s="2" t="inlineStr">
        <is>
          <t>Yes</t>
        </is>
      </c>
    </row>
    <row r="380">
      <c r="A380" s="2" t="inlineStr">
        <is>
          <t>Married</t>
        </is>
      </c>
      <c r="B380">
        <f>(E374*B376)/E376</f>
        <v/>
      </c>
      <c r="C380">
        <f>(E374*C376)/E376</f>
        <v/>
      </c>
      <c r="D380">
        <f>(E374*D376)/E376</f>
        <v/>
      </c>
    </row>
    <row r="381">
      <c r="A381" s="2" t="inlineStr">
        <is>
          <t>Single</t>
        </is>
      </c>
      <c r="B381">
        <f>(E375*B376)/E376</f>
        <v/>
      </c>
      <c r="C381">
        <f>(E375*C376)/E376</f>
        <v/>
      </c>
      <c r="D381">
        <f>(E375*D376)/E376</f>
        <v/>
      </c>
    </row>
    <row r="384">
      <c r="A384" s="2" t="inlineStr">
        <is>
          <t>Chi-Square Components: (O - E)² / E</t>
        </is>
      </c>
    </row>
    <row r="385">
      <c r="A385" s="2" t="n"/>
      <c r="B385" s="2" t="inlineStr">
        <is>
          <t>Don’t know</t>
        </is>
      </c>
      <c r="C385" s="2" t="inlineStr">
        <is>
          <t>No</t>
        </is>
      </c>
      <c r="D385" s="2" t="inlineStr">
        <is>
          <t>Yes</t>
        </is>
      </c>
    </row>
    <row r="386">
      <c r="A386" t="inlineStr">
        <is>
          <t>Married</t>
        </is>
      </c>
      <c r="B386">
        <f>IF(B380&gt;0,POWER(B374-B380,2)/B380,0)</f>
        <v/>
      </c>
      <c r="C386">
        <f>IF(C380&gt;0,POWER(C374-C380,2)/C380,0)</f>
        <v/>
      </c>
      <c r="D386">
        <f>IF(D380&gt;0,POWER(D374-D380,2)/D380,0)</f>
        <v/>
      </c>
    </row>
    <row r="387">
      <c r="A387" t="inlineStr">
        <is>
          <t>Single</t>
        </is>
      </c>
      <c r="B387">
        <f>IF(B381&gt;0,POWER(B375-B381,2)/B381,0)</f>
        <v/>
      </c>
      <c r="C387">
        <f>IF(C381&gt;0,POWER(C375-C381,2)/C381,0)</f>
        <v/>
      </c>
      <c r="D387">
        <f>IF(D381&gt;0,POWER(D375-D381,2)/D381,0)</f>
        <v/>
      </c>
    </row>
    <row r="390">
      <c r="A390" s="9" t="inlineStr">
        <is>
          <t>Statistical Results</t>
        </is>
      </c>
    </row>
    <row r="391">
      <c r="A391" t="inlineStr">
        <is>
          <t>Chi-Square (χ²):</t>
        </is>
      </c>
      <c r="B391">
        <f>SUM(B386:D387)</f>
        <v/>
      </c>
    </row>
    <row r="392">
      <c r="A392" t="inlineStr">
        <is>
          <t>Degrees of Freedom:</t>
        </is>
      </c>
      <c r="B392" t="n">
        <v>2</v>
      </c>
    </row>
    <row r="393">
      <c r="A393" t="inlineStr">
        <is>
          <t>P-value:</t>
        </is>
      </c>
      <c r="B393">
        <f>_xlfn.CHISQ.DIST.RT(B391,2)</f>
        <v/>
      </c>
    </row>
    <row r="394">
      <c r="A394" t="inlineStr">
        <is>
          <t>Significant (p&lt;0.05)?</t>
        </is>
      </c>
      <c r="B394">
        <f>IF(B393&lt;0.05,"YES ✓","NO")</f>
        <v/>
      </c>
    </row>
    <row r="395">
      <c r="A395" t="inlineStr">
        <is>
          <t>Critical Value (α=0.05):</t>
        </is>
      </c>
      <c r="B395">
        <f>_xlfn.CHISQ.INV.RT(0.05,2)</f>
        <v/>
      </c>
    </row>
    <row r="396">
      <c r="A396" t="inlineStr">
        <is>
          <t>Cramér's V:</t>
        </is>
      </c>
      <c r="B396">
        <f>SQRT(B391/(201*1))</f>
        <v/>
      </c>
    </row>
    <row r="399">
      <c r="A399" s="6" t="inlineStr">
        <is>
          <t>ANALYSIS 14: Marital Status vs Q21 (Prevention)</t>
        </is>
      </c>
    </row>
    <row r="401">
      <c r="A401" s="2" t="inlineStr">
        <is>
          <t>Observed Frequencies</t>
        </is>
      </c>
    </row>
    <row r="402">
      <c r="A402" s="2" t="n"/>
      <c r="B402" s="2" t="inlineStr">
        <is>
          <t>Can be prevented</t>
        </is>
      </c>
      <c r="C402" s="2" t="inlineStr">
        <is>
          <t>Cannot be prevented</t>
        </is>
      </c>
      <c r="D402" s="2" t="inlineStr">
        <is>
          <t>Not sure</t>
        </is>
      </c>
      <c r="E402" s="2" t="inlineStr">
        <is>
          <t>Row Total</t>
        </is>
      </c>
    </row>
    <row r="403">
      <c r="A403" t="inlineStr">
        <is>
          <t>Married</t>
        </is>
      </c>
      <c r="B403" t="n">
        <v>48</v>
      </c>
      <c r="C403" t="n">
        <v>2</v>
      </c>
      <c r="D403" t="n">
        <v>20</v>
      </c>
      <c r="E403" t="n">
        <v>70</v>
      </c>
    </row>
    <row r="404">
      <c r="A404" t="inlineStr">
        <is>
          <t>Single</t>
        </is>
      </c>
      <c r="B404" t="n">
        <v>103</v>
      </c>
      <c r="C404" t="n">
        <v>8</v>
      </c>
      <c r="D404" t="n">
        <v>20</v>
      </c>
      <c r="E404" t="n">
        <v>131</v>
      </c>
    </row>
    <row r="405">
      <c r="A405" s="2" t="inlineStr">
        <is>
          <t>Column Total</t>
        </is>
      </c>
      <c r="B405" s="2" t="n">
        <v>151</v>
      </c>
      <c r="C405" s="2" t="n">
        <v>10</v>
      </c>
      <c r="D405" s="2" t="n">
        <v>40</v>
      </c>
      <c r="E405" s="2" t="n">
        <v>201</v>
      </c>
    </row>
    <row r="407">
      <c r="A407" s="2" t="inlineStr">
        <is>
          <t>Expected Frequencies</t>
        </is>
      </c>
    </row>
    <row r="408">
      <c r="A408" s="2" t="n"/>
      <c r="B408" s="2" t="inlineStr">
        <is>
          <t>Can be prevented</t>
        </is>
      </c>
      <c r="C408" s="2" t="inlineStr">
        <is>
          <t>Cannot be prevented</t>
        </is>
      </c>
      <c r="D408" s="2" t="inlineStr">
        <is>
          <t>Not sure</t>
        </is>
      </c>
    </row>
    <row r="409">
      <c r="A409" s="2" t="inlineStr">
        <is>
          <t>Married</t>
        </is>
      </c>
      <c r="B409">
        <f>(E403*B405)/E405</f>
        <v/>
      </c>
      <c r="C409">
        <f>(E403*C405)/E405</f>
        <v/>
      </c>
      <c r="D409">
        <f>(E403*D405)/E405</f>
        <v/>
      </c>
    </row>
    <row r="410">
      <c r="A410" s="2" t="inlineStr">
        <is>
          <t>Single</t>
        </is>
      </c>
      <c r="B410">
        <f>(E404*B405)/E405</f>
        <v/>
      </c>
      <c r="C410">
        <f>(E404*C405)/E405</f>
        <v/>
      </c>
      <c r="D410">
        <f>(E404*D405)/E405</f>
        <v/>
      </c>
    </row>
    <row r="413">
      <c r="A413" s="2" t="inlineStr">
        <is>
          <t>Chi-Square Components: (O - E)² / E</t>
        </is>
      </c>
    </row>
    <row r="414">
      <c r="A414" s="2" t="n"/>
      <c r="B414" s="2" t="inlineStr">
        <is>
          <t>Can be prevented</t>
        </is>
      </c>
      <c r="C414" s="2" t="inlineStr">
        <is>
          <t>Cannot be prevented</t>
        </is>
      </c>
      <c r="D414" s="2" t="inlineStr">
        <is>
          <t>Not sure</t>
        </is>
      </c>
    </row>
    <row r="415">
      <c r="A415" t="inlineStr">
        <is>
          <t>Married</t>
        </is>
      </c>
      <c r="B415">
        <f>IF(B409&gt;0,POWER(B403-B409,2)/B409,0)</f>
        <v/>
      </c>
      <c r="C415">
        <f>IF(C409&gt;0,POWER(C403-C409,2)/C409,0)</f>
        <v/>
      </c>
      <c r="D415">
        <f>IF(D409&gt;0,POWER(D403-D409,2)/D409,0)</f>
        <v/>
      </c>
    </row>
    <row r="416">
      <c r="A416" t="inlineStr">
        <is>
          <t>Single</t>
        </is>
      </c>
      <c r="B416">
        <f>IF(B410&gt;0,POWER(B404-B410,2)/B410,0)</f>
        <v/>
      </c>
      <c r="C416">
        <f>IF(C410&gt;0,POWER(C404-C410,2)/C410,0)</f>
        <v/>
      </c>
      <c r="D416">
        <f>IF(D410&gt;0,POWER(D404-D410,2)/D410,0)</f>
        <v/>
      </c>
    </row>
    <row r="419">
      <c r="A419" s="9" t="inlineStr">
        <is>
          <t>Statistical Results</t>
        </is>
      </c>
    </row>
    <row r="420">
      <c r="A420" t="inlineStr">
        <is>
          <t>Chi-Square (χ²):</t>
        </is>
      </c>
      <c r="B420">
        <f>SUM(B415:D416)</f>
        <v/>
      </c>
    </row>
    <row r="421">
      <c r="A421" t="inlineStr">
        <is>
          <t>Degrees of Freedom:</t>
        </is>
      </c>
      <c r="B421" t="n">
        <v>2</v>
      </c>
    </row>
    <row r="422">
      <c r="A422" t="inlineStr">
        <is>
          <t>P-value:</t>
        </is>
      </c>
      <c r="B422">
        <f>_xlfn.CHISQ.DIST.RT(B420,2)</f>
        <v/>
      </c>
    </row>
    <row r="423">
      <c r="A423" t="inlineStr">
        <is>
          <t>Significant (p&lt;0.05)?</t>
        </is>
      </c>
      <c r="B423">
        <f>IF(B422&lt;0.05,"YES ✓","NO")</f>
        <v/>
      </c>
    </row>
    <row r="424">
      <c r="A424" t="inlineStr">
        <is>
          <t>Critical Value (α=0.05):</t>
        </is>
      </c>
      <c r="B424">
        <f>_xlfn.CHISQ.INV.RT(0.05,2)</f>
        <v/>
      </c>
    </row>
    <row r="425">
      <c r="A425" t="inlineStr">
        <is>
          <t>Cramér's V:</t>
        </is>
      </c>
      <c r="B425">
        <f>SQRT(B420/(201*1))</f>
        <v/>
      </c>
    </row>
    <row r="428">
      <c r="A428" s="6" t="inlineStr">
        <is>
          <t>ANALYSIS 15: Marital Status vs Q24 (Child risk)</t>
        </is>
      </c>
    </row>
    <row r="430">
      <c r="A430" s="2" t="inlineStr">
        <is>
          <t>Observed Frequencies</t>
        </is>
      </c>
    </row>
    <row r="431">
      <c r="A431" s="2" t="n"/>
      <c r="B431" s="2" t="inlineStr">
        <is>
          <t>40–100</t>
        </is>
      </c>
      <c r="C431" s="2" t="inlineStr">
        <is>
          <t>Don’t know</t>
        </is>
      </c>
      <c r="D431" s="2" t="inlineStr">
        <is>
          <t>More than this (&gt;100)</t>
        </is>
      </c>
      <c r="E431" s="2" t="inlineStr">
        <is>
          <t>Much less than this (&lt;40)</t>
        </is>
      </c>
      <c r="F431" s="2" t="inlineStr">
        <is>
          <t>Row Total</t>
        </is>
      </c>
    </row>
    <row r="432">
      <c r="A432" t="inlineStr">
        <is>
          <t>Married</t>
        </is>
      </c>
      <c r="B432" t="n">
        <v>3</v>
      </c>
      <c r="C432" t="n">
        <v>66</v>
      </c>
      <c r="D432" t="n">
        <v>1</v>
      </c>
      <c r="E432" t="n">
        <v>0</v>
      </c>
      <c r="F432" t="n">
        <v>70</v>
      </c>
    </row>
    <row r="433">
      <c r="A433" t="inlineStr">
        <is>
          <t>Single</t>
        </is>
      </c>
      <c r="B433" t="n">
        <v>5</v>
      </c>
      <c r="C433" t="n">
        <v>124</v>
      </c>
      <c r="D433" t="n">
        <v>0</v>
      </c>
      <c r="E433" t="n">
        <v>2</v>
      </c>
      <c r="F433" t="n">
        <v>131</v>
      </c>
    </row>
    <row r="434">
      <c r="A434" s="2" t="inlineStr">
        <is>
          <t>Column Total</t>
        </is>
      </c>
      <c r="B434" s="2" t="n">
        <v>8</v>
      </c>
      <c r="C434" s="2" t="n">
        <v>190</v>
      </c>
      <c r="D434" s="2" t="n">
        <v>1</v>
      </c>
      <c r="E434" s="2" t="n">
        <v>2</v>
      </c>
      <c r="F434" s="2" t="n">
        <v>201</v>
      </c>
    </row>
    <row r="436">
      <c r="A436" s="2" t="inlineStr">
        <is>
          <t>Expected Frequencies</t>
        </is>
      </c>
    </row>
    <row r="437">
      <c r="A437" s="2" t="n"/>
      <c r="B437" s="2" t="inlineStr">
        <is>
          <t>40–100</t>
        </is>
      </c>
      <c r="C437" s="2" t="inlineStr">
        <is>
          <t>Don’t know</t>
        </is>
      </c>
      <c r="D437" s="2" t="inlineStr">
        <is>
          <t>More than this (&gt;100)</t>
        </is>
      </c>
      <c r="E437" s="2" t="inlineStr">
        <is>
          <t>Much less than this (&lt;40)</t>
        </is>
      </c>
    </row>
    <row r="438">
      <c r="A438" s="2" t="inlineStr">
        <is>
          <t>Married</t>
        </is>
      </c>
      <c r="B438">
        <f>(F432*B434)/F434</f>
        <v/>
      </c>
      <c r="C438">
        <f>(F432*C434)/F434</f>
        <v/>
      </c>
      <c r="D438">
        <f>(F432*D434)/F434</f>
        <v/>
      </c>
      <c r="E438">
        <f>(F432*E434)/F434</f>
        <v/>
      </c>
    </row>
    <row r="439">
      <c r="A439" s="2" t="inlineStr">
        <is>
          <t>Single</t>
        </is>
      </c>
      <c r="B439">
        <f>(F433*B434)/F434</f>
        <v/>
      </c>
      <c r="C439">
        <f>(F433*C434)/F434</f>
        <v/>
      </c>
      <c r="D439">
        <f>(F433*D434)/F434</f>
        <v/>
      </c>
      <c r="E439">
        <f>(F433*E434)/F434</f>
        <v/>
      </c>
    </row>
    <row r="442">
      <c r="A442" s="2" t="inlineStr">
        <is>
          <t>Chi-Square Components: (O - E)² / E</t>
        </is>
      </c>
    </row>
    <row r="443">
      <c r="A443" s="2" t="n"/>
      <c r="B443" s="2" t="inlineStr">
        <is>
          <t>40–100</t>
        </is>
      </c>
      <c r="C443" s="2" t="inlineStr">
        <is>
          <t>Don’t know</t>
        </is>
      </c>
      <c r="D443" s="2" t="inlineStr">
        <is>
          <t>More than this (&gt;100)</t>
        </is>
      </c>
      <c r="E443" s="2" t="inlineStr">
        <is>
          <t>Much less than this (&lt;40)</t>
        </is>
      </c>
    </row>
    <row r="444">
      <c r="A444" t="inlineStr">
        <is>
          <t>Married</t>
        </is>
      </c>
      <c r="B444">
        <f>IF(B438&gt;0,POWER(B432-B438,2)/B438,0)</f>
        <v/>
      </c>
      <c r="C444">
        <f>IF(C438&gt;0,POWER(C432-C438,2)/C438,0)</f>
        <v/>
      </c>
      <c r="D444">
        <f>IF(D438&gt;0,POWER(D432-D438,2)/D438,0)</f>
        <v/>
      </c>
      <c r="E444">
        <f>IF(E438&gt;0,POWER(E432-E438,2)/E438,0)</f>
        <v/>
      </c>
    </row>
    <row r="445">
      <c r="A445" t="inlineStr">
        <is>
          <t>Single</t>
        </is>
      </c>
      <c r="B445">
        <f>IF(B439&gt;0,POWER(B433-B439,2)/B439,0)</f>
        <v/>
      </c>
      <c r="C445">
        <f>IF(C439&gt;0,POWER(C433-C439,2)/C439,0)</f>
        <v/>
      </c>
      <c r="D445">
        <f>IF(D439&gt;0,POWER(D433-D439,2)/D439,0)</f>
        <v/>
      </c>
      <c r="E445">
        <f>IF(E439&gt;0,POWER(E433-E439,2)/E439,0)</f>
        <v/>
      </c>
    </row>
    <row r="448">
      <c r="A448" s="9" t="inlineStr">
        <is>
          <t>Statistical Results</t>
        </is>
      </c>
    </row>
    <row r="449">
      <c r="A449" t="inlineStr">
        <is>
          <t>Chi-Square (χ²):</t>
        </is>
      </c>
      <c r="B449">
        <f>SUM(B444:E445)</f>
        <v/>
      </c>
    </row>
    <row r="450">
      <c r="A450" t="inlineStr">
        <is>
          <t>Degrees of Freedom:</t>
        </is>
      </c>
      <c r="B450" t="n">
        <v>3</v>
      </c>
    </row>
    <row r="451">
      <c r="A451" t="inlineStr">
        <is>
          <t>P-value:</t>
        </is>
      </c>
      <c r="B451">
        <f>_xlfn.CHISQ.DIST.RT(B449,3)</f>
        <v/>
      </c>
    </row>
    <row r="452">
      <c r="A452" t="inlineStr">
        <is>
          <t>Significant (p&lt;0.05)?</t>
        </is>
      </c>
      <c r="B452">
        <f>IF(B451&lt;0.05,"YES ✓","NO")</f>
        <v/>
      </c>
    </row>
    <row r="453">
      <c r="A453" t="inlineStr">
        <is>
          <t>Critical Value (α=0.05):</t>
        </is>
      </c>
      <c r="B453">
        <f>_xlfn.CHISQ.INV.RT(0.05,3)</f>
        <v/>
      </c>
    </row>
    <row r="454">
      <c r="A454" t="inlineStr">
        <is>
          <t>Cramér's V:</t>
        </is>
      </c>
      <c r="B454">
        <f>SQRT(B449/(201*1))</f>
        <v/>
      </c>
    </row>
    <row r="457">
      <c r="A457" s="6" t="inlineStr">
        <is>
          <t>ANALYSIS 16: Family History vs Q15 (Blood disease)</t>
        </is>
      </c>
    </row>
    <row r="459">
      <c r="A459" s="2" t="inlineStr">
        <is>
          <t>Observed Frequencies</t>
        </is>
      </c>
    </row>
    <row r="460">
      <c r="A460" s="2" t="n"/>
      <c r="B460" s="2" t="inlineStr">
        <is>
          <t>Don’t know</t>
        </is>
      </c>
      <c r="C460" s="2" t="inlineStr">
        <is>
          <t>No</t>
        </is>
      </c>
      <c r="D460" s="2" t="inlineStr">
        <is>
          <t>Yes</t>
        </is>
      </c>
      <c r="E460" s="2" t="inlineStr">
        <is>
          <t>Row Total</t>
        </is>
      </c>
    </row>
    <row r="461">
      <c r="A461" t="inlineStr">
        <is>
          <t>I don’t know</t>
        </is>
      </c>
      <c r="B461" t="n">
        <v>5</v>
      </c>
      <c r="C461" t="n">
        <v>0</v>
      </c>
      <c r="D461" t="n">
        <v>17</v>
      </c>
      <c r="E461" t="n">
        <v>22</v>
      </c>
    </row>
    <row r="462">
      <c r="A462" t="inlineStr">
        <is>
          <t>No</t>
        </is>
      </c>
      <c r="B462" t="n">
        <v>11</v>
      </c>
      <c r="C462" t="n">
        <v>3</v>
      </c>
      <c r="D462" t="n">
        <v>123</v>
      </c>
      <c r="E462" t="n">
        <v>137</v>
      </c>
    </row>
    <row r="463">
      <c r="A463" t="inlineStr">
        <is>
          <t>Yes</t>
        </is>
      </c>
      <c r="B463" t="n">
        <v>0</v>
      </c>
      <c r="C463" t="n">
        <v>0</v>
      </c>
      <c r="D463" t="n">
        <v>39</v>
      </c>
      <c r="E463" t="n">
        <v>39</v>
      </c>
    </row>
    <row r="464">
      <c r="A464" s="2" t="inlineStr">
        <is>
          <t>Column Total</t>
        </is>
      </c>
      <c r="B464" s="2" t="n">
        <v>16</v>
      </c>
      <c r="C464" s="2" t="n">
        <v>3</v>
      </c>
      <c r="D464" s="2" t="n">
        <v>179</v>
      </c>
      <c r="E464" s="2" t="n">
        <v>198</v>
      </c>
    </row>
    <row r="466">
      <c r="A466" s="2" t="inlineStr">
        <is>
          <t>Expected Frequencies</t>
        </is>
      </c>
    </row>
    <row r="467">
      <c r="A467" s="2" t="n"/>
      <c r="B467" s="2" t="inlineStr">
        <is>
          <t>Don’t know</t>
        </is>
      </c>
      <c r="C467" s="2" t="inlineStr">
        <is>
          <t>No</t>
        </is>
      </c>
      <c r="D467" s="2" t="inlineStr">
        <is>
          <t>Yes</t>
        </is>
      </c>
    </row>
    <row r="468">
      <c r="A468" s="2" t="inlineStr">
        <is>
          <t>I don’t know</t>
        </is>
      </c>
      <c r="B468">
        <f>(E461*B464)/E464</f>
        <v/>
      </c>
      <c r="C468">
        <f>(E461*C464)/E464</f>
        <v/>
      </c>
      <c r="D468">
        <f>(E461*D464)/E464</f>
        <v/>
      </c>
    </row>
    <row r="469">
      <c r="A469" s="2" t="inlineStr">
        <is>
          <t>No</t>
        </is>
      </c>
      <c r="B469">
        <f>(E462*B464)/E464</f>
        <v/>
      </c>
      <c r="C469">
        <f>(E462*C464)/E464</f>
        <v/>
      </c>
      <c r="D469">
        <f>(E462*D464)/E464</f>
        <v/>
      </c>
    </row>
    <row r="470">
      <c r="A470" s="2" t="inlineStr">
        <is>
          <t>Yes</t>
        </is>
      </c>
      <c r="B470">
        <f>(E463*B464)/E464</f>
        <v/>
      </c>
      <c r="C470">
        <f>(E463*C464)/E464</f>
        <v/>
      </c>
      <c r="D470">
        <f>(E463*D464)/E464</f>
        <v/>
      </c>
    </row>
    <row r="473">
      <c r="A473" s="2" t="inlineStr">
        <is>
          <t>Chi-Square Components: (O - E)² / E</t>
        </is>
      </c>
    </row>
    <row r="474">
      <c r="A474" s="2" t="n"/>
      <c r="B474" s="2" t="inlineStr">
        <is>
          <t>Don’t know</t>
        </is>
      </c>
      <c r="C474" s="2" t="inlineStr">
        <is>
          <t>No</t>
        </is>
      </c>
      <c r="D474" s="2" t="inlineStr">
        <is>
          <t>Yes</t>
        </is>
      </c>
    </row>
    <row r="475">
      <c r="A475" t="inlineStr">
        <is>
          <t>I don’t know</t>
        </is>
      </c>
      <c r="B475">
        <f>IF(B468&gt;0,POWER(B461-B468,2)/B468,0)</f>
        <v/>
      </c>
      <c r="C475">
        <f>IF(C468&gt;0,POWER(C461-C468,2)/C468,0)</f>
        <v/>
      </c>
      <c r="D475">
        <f>IF(D468&gt;0,POWER(D461-D468,2)/D468,0)</f>
        <v/>
      </c>
    </row>
    <row r="476">
      <c r="A476" t="inlineStr">
        <is>
          <t>No</t>
        </is>
      </c>
      <c r="B476">
        <f>IF(B469&gt;0,POWER(B462-B469,2)/B469,0)</f>
        <v/>
      </c>
      <c r="C476">
        <f>IF(C469&gt;0,POWER(C462-C469,2)/C469,0)</f>
        <v/>
      </c>
      <c r="D476">
        <f>IF(D469&gt;0,POWER(D462-D469,2)/D469,0)</f>
        <v/>
      </c>
    </row>
    <row r="477">
      <c r="A477" t="inlineStr">
        <is>
          <t>Yes</t>
        </is>
      </c>
      <c r="B477">
        <f>IF(B470&gt;0,POWER(B463-B470,2)/B470,0)</f>
        <v/>
      </c>
      <c r="C477">
        <f>IF(C470&gt;0,POWER(C463-C470,2)/C470,0)</f>
        <v/>
      </c>
      <c r="D477">
        <f>IF(D470&gt;0,POWER(D463-D470,2)/D470,0)</f>
        <v/>
      </c>
    </row>
    <row r="480">
      <c r="A480" s="9" t="inlineStr">
        <is>
          <t>Statistical Results</t>
        </is>
      </c>
    </row>
    <row r="481">
      <c r="A481" t="inlineStr">
        <is>
          <t>Chi-Square (χ²):</t>
        </is>
      </c>
      <c r="B481">
        <f>SUM(B475:D477)</f>
        <v/>
      </c>
    </row>
    <row r="482">
      <c r="A482" t="inlineStr">
        <is>
          <t>Degrees of Freedom:</t>
        </is>
      </c>
      <c r="B482" t="n">
        <v>4</v>
      </c>
    </row>
    <row r="483">
      <c r="A483" t="inlineStr">
        <is>
          <t>P-value:</t>
        </is>
      </c>
      <c r="B483">
        <f>_xlfn.CHISQ.DIST.RT(B481,4)</f>
        <v/>
      </c>
    </row>
    <row r="484">
      <c r="A484" t="inlineStr">
        <is>
          <t>Significant (p&lt;0.05)?</t>
        </is>
      </c>
      <c r="B484">
        <f>IF(B483&lt;0.05,"YES ✓","NO")</f>
        <v/>
      </c>
    </row>
    <row r="485">
      <c r="A485" t="inlineStr">
        <is>
          <t>Critical Value (α=0.05):</t>
        </is>
      </c>
      <c r="B485">
        <f>_xlfn.CHISQ.INV.RT(0.05,4)</f>
        <v/>
      </c>
    </row>
    <row r="486">
      <c r="A486" t="inlineStr">
        <is>
          <t>Cramér's V:</t>
        </is>
      </c>
      <c r="B486">
        <f>SQRT(B481/(198*2))</f>
        <v/>
      </c>
    </row>
    <row r="491">
      <c r="A491" s="6" t="inlineStr">
        <is>
          <t>ANALYSIS 17: Family History vs Q21 (Prevention)</t>
        </is>
      </c>
    </row>
    <row r="493">
      <c r="A493" s="2" t="inlineStr">
        <is>
          <t>Observed Frequencies</t>
        </is>
      </c>
    </row>
    <row r="494">
      <c r="A494" s="2" t="n"/>
      <c r="B494" s="2" t="inlineStr">
        <is>
          <t>Can be prevented</t>
        </is>
      </c>
      <c r="C494" s="2" t="inlineStr">
        <is>
          <t>Cannot be prevented</t>
        </is>
      </c>
      <c r="D494" s="2" t="inlineStr">
        <is>
          <t>Not sure</t>
        </is>
      </c>
      <c r="E494" s="2" t="inlineStr">
        <is>
          <t>Row Total</t>
        </is>
      </c>
    </row>
    <row r="495">
      <c r="A495" t="inlineStr">
        <is>
          <t>I don’t know</t>
        </is>
      </c>
      <c r="B495" t="n">
        <v>18</v>
      </c>
      <c r="C495" t="n">
        <v>0</v>
      </c>
      <c r="D495" t="n">
        <v>4</v>
      </c>
      <c r="E495" t="n">
        <v>22</v>
      </c>
    </row>
    <row r="496">
      <c r="A496" t="inlineStr">
        <is>
          <t>No</t>
        </is>
      </c>
      <c r="B496" t="n">
        <v>99</v>
      </c>
      <c r="C496" t="n">
        <v>7</v>
      </c>
      <c r="D496" t="n">
        <v>31</v>
      </c>
      <c r="E496" t="n">
        <v>137</v>
      </c>
    </row>
    <row r="497">
      <c r="A497" t="inlineStr">
        <is>
          <t>Yes</t>
        </is>
      </c>
      <c r="B497" t="n">
        <v>31</v>
      </c>
      <c r="C497" t="n">
        <v>3</v>
      </c>
      <c r="D497" t="n">
        <v>5</v>
      </c>
      <c r="E497" t="n">
        <v>39</v>
      </c>
    </row>
    <row r="498">
      <c r="A498" s="2" t="inlineStr">
        <is>
          <t>Column Total</t>
        </is>
      </c>
      <c r="B498" s="2" t="n">
        <v>148</v>
      </c>
      <c r="C498" s="2" t="n">
        <v>10</v>
      </c>
      <c r="D498" s="2" t="n">
        <v>40</v>
      </c>
      <c r="E498" s="2" t="n">
        <v>198</v>
      </c>
    </row>
    <row r="500">
      <c r="A500" s="2" t="inlineStr">
        <is>
          <t>Expected Frequencies</t>
        </is>
      </c>
    </row>
    <row r="501">
      <c r="A501" s="2" t="n"/>
      <c r="B501" s="2" t="inlineStr">
        <is>
          <t>Can be prevented</t>
        </is>
      </c>
      <c r="C501" s="2" t="inlineStr">
        <is>
          <t>Cannot be prevented</t>
        </is>
      </c>
      <c r="D501" s="2" t="inlineStr">
        <is>
          <t>Not sure</t>
        </is>
      </c>
    </row>
    <row r="502">
      <c r="A502" s="2" t="inlineStr">
        <is>
          <t>I don’t know</t>
        </is>
      </c>
      <c r="B502">
        <f>(E495*B498)/E498</f>
        <v/>
      </c>
      <c r="C502">
        <f>(E495*C498)/E498</f>
        <v/>
      </c>
      <c r="D502">
        <f>(E495*D498)/E498</f>
        <v/>
      </c>
    </row>
    <row r="503">
      <c r="A503" s="2" t="inlineStr">
        <is>
          <t>No</t>
        </is>
      </c>
      <c r="B503">
        <f>(E496*B498)/E498</f>
        <v/>
      </c>
      <c r="C503">
        <f>(E496*C498)/E498</f>
        <v/>
      </c>
      <c r="D503">
        <f>(E496*D498)/E498</f>
        <v/>
      </c>
    </row>
    <row r="504">
      <c r="A504" s="2" t="inlineStr">
        <is>
          <t>Yes</t>
        </is>
      </c>
      <c r="B504">
        <f>(E497*B498)/E498</f>
        <v/>
      </c>
      <c r="C504">
        <f>(E497*C498)/E498</f>
        <v/>
      </c>
      <c r="D504">
        <f>(E497*D498)/E498</f>
        <v/>
      </c>
    </row>
    <row r="507">
      <c r="A507" s="2" t="inlineStr">
        <is>
          <t>Chi-Square Components: (O - E)² / E</t>
        </is>
      </c>
    </row>
    <row r="508">
      <c r="A508" s="2" t="n"/>
      <c r="B508" s="2" t="inlineStr">
        <is>
          <t>Can be prevented</t>
        </is>
      </c>
      <c r="C508" s="2" t="inlineStr">
        <is>
          <t>Cannot be prevented</t>
        </is>
      </c>
      <c r="D508" s="2" t="inlineStr">
        <is>
          <t>Not sure</t>
        </is>
      </c>
    </row>
    <row r="509">
      <c r="A509" t="inlineStr">
        <is>
          <t>I don’t know</t>
        </is>
      </c>
      <c r="B509">
        <f>IF(B502&gt;0,POWER(B495-B502,2)/B502,0)</f>
        <v/>
      </c>
      <c r="C509">
        <f>IF(C502&gt;0,POWER(C495-C502,2)/C502,0)</f>
        <v/>
      </c>
      <c r="D509">
        <f>IF(D502&gt;0,POWER(D495-D502,2)/D502,0)</f>
        <v/>
      </c>
    </row>
    <row r="510">
      <c r="A510" t="inlineStr">
        <is>
          <t>No</t>
        </is>
      </c>
      <c r="B510">
        <f>IF(B503&gt;0,POWER(B496-B503,2)/B503,0)</f>
        <v/>
      </c>
      <c r="C510">
        <f>IF(C503&gt;0,POWER(C496-C503,2)/C503,0)</f>
        <v/>
      </c>
      <c r="D510">
        <f>IF(D503&gt;0,POWER(D496-D503,2)/D503,0)</f>
        <v/>
      </c>
    </row>
    <row r="511">
      <c r="A511" t="inlineStr">
        <is>
          <t>Yes</t>
        </is>
      </c>
      <c r="B511">
        <f>IF(B504&gt;0,POWER(B497-B504,2)/B504,0)</f>
        <v/>
      </c>
      <c r="C511">
        <f>IF(C504&gt;0,POWER(C497-C504,2)/C504,0)</f>
        <v/>
      </c>
      <c r="D511">
        <f>IF(D504&gt;0,POWER(D497-D504,2)/D504,0)</f>
        <v/>
      </c>
    </row>
    <row r="514">
      <c r="A514" s="9" t="inlineStr">
        <is>
          <t>Statistical Results</t>
        </is>
      </c>
    </row>
    <row r="515">
      <c r="A515" t="inlineStr">
        <is>
          <t>Chi-Square (χ²):</t>
        </is>
      </c>
      <c r="B515">
        <f>SUM(B509:D511)</f>
        <v/>
      </c>
    </row>
    <row r="516">
      <c r="A516" t="inlineStr">
        <is>
          <t>Degrees of Freedom:</t>
        </is>
      </c>
      <c r="B516" t="n">
        <v>4</v>
      </c>
    </row>
    <row r="517">
      <c r="A517" t="inlineStr">
        <is>
          <t>P-value:</t>
        </is>
      </c>
      <c r="B517">
        <f>_xlfn.CHISQ.DIST.RT(B515,4)</f>
        <v/>
      </c>
    </row>
    <row r="518">
      <c r="A518" t="inlineStr">
        <is>
          <t>Significant (p&lt;0.05)?</t>
        </is>
      </c>
      <c r="B518">
        <f>IF(B517&lt;0.05,"YES ✓","NO")</f>
        <v/>
      </c>
    </row>
    <row r="519">
      <c r="A519" t="inlineStr">
        <is>
          <t>Critical Value (α=0.05):</t>
        </is>
      </c>
      <c r="B519">
        <f>_xlfn.CHISQ.INV.RT(0.05,4)</f>
        <v/>
      </c>
    </row>
    <row r="520">
      <c r="A520" t="inlineStr">
        <is>
          <t>Cramér's V:</t>
        </is>
      </c>
      <c r="B520">
        <f>SQRT(B515/(198*2))</f>
        <v/>
      </c>
    </row>
    <row r="523">
      <c r="A523" s="6" t="inlineStr">
        <is>
          <t>ANALYSIS 18: Family History vs Q24 (Child risk)</t>
        </is>
      </c>
    </row>
    <row r="525">
      <c r="A525" s="2" t="inlineStr">
        <is>
          <t>Observed Frequencies</t>
        </is>
      </c>
    </row>
    <row r="526">
      <c r="A526" s="2" t="n"/>
      <c r="B526" s="2" t="inlineStr">
        <is>
          <t>40–100</t>
        </is>
      </c>
      <c r="C526" s="2" t="inlineStr">
        <is>
          <t>Don’t know</t>
        </is>
      </c>
      <c r="D526" s="2" t="inlineStr">
        <is>
          <t>More than this (&gt;100)</t>
        </is>
      </c>
      <c r="E526" s="2" t="inlineStr">
        <is>
          <t>Much less than this (&lt;40)</t>
        </is>
      </c>
      <c r="F526" s="2" t="inlineStr">
        <is>
          <t>Row Total</t>
        </is>
      </c>
    </row>
    <row r="527">
      <c r="A527" t="inlineStr">
        <is>
          <t>I don’t know</t>
        </is>
      </c>
      <c r="B527" t="n">
        <v>1</v>
      </c>
      <c r="C527" t="n">
        <v>21</v>
      </c>
      <c r="D527" t="n">
        <v>0</v>
      </c>
      <c r="E527" t="n">
        <v>0</v>
      </c>
      <c r="F527" t="n">
        <v>22</v>
      </c>
    </row>
    <row r="528">
      <c r="A528" t="inlineStr">
        <is>
          <t>No</t>
        </is>
      </c>
      <c r="B528" t="n">
        <v>7</v>
      </c>
      <c r="C528" t="n">
        <v>128</v>
      </c>
      <c r="D528" t="n">
        <v>1</v>
      </c>
      <c r="E528" t="n">
        <v>1</v>
      </c>
      <c r="F528" t="n">
        <v>137</v>
      </c>
    </row>
    <row r="529">
      <c r="A529" t="inlineStr">
        <is>
          <t>Yes</t>
        </is>
      </c>
      <c r="B529" t="n">
        <v>0</v>
      </c>
      <c r="C529" t="n">
        <v>38</v>
      </c>
      <c r="D529" t="n">
        <v>0</v>
      </c>
      <c r="E529" t="n">
        <v>1</v>
      </c>
      <c r="F529" t="n">
        <v>39</v>
      </c>
    </row>
    <row r="530">
      <c r="A530" s="2" t="inlineStr">
        <is>
          <t>Column Total</t>
        </is>
      </c>
      <c r="B530" s="2" t="n">
        <v>8</v>
      </c>
      <c r="C530" s="2" t="n">
        <v>187</v>
      </c>
      <c r="D530" s="2" t="n">
        <v>1</v>
      </c>
      <c r="E530" s="2" t="n">
        <v>2</v>
      </c>
      <c r="F530" s="2" t="n">
        <v>198</v>
      </c>
    </row>
    <row r="532">
      <c r="A532" s="2" t="inlineStr">
        <is>
          <t>Expected Frequencies</t>
        </is>
      </c>
    </row>
    <row r="533">
      <c r="A533" s="2" t="n"/>
      <c r="B533" s="2" t="inlineStr">
        <is>
          <t>40–100</t>
        </is>
      </c>
      <c r="C533" s="2" t="inlineStr">
        <is>
          <t>Don’t know</t>
        </is>
      </c>
      <c r="D533" s="2" t="inlineStr">
        <is>
          <t>More than this (&gt;100)</t>
        </is>
      </c>
      <c r="E533" s="2" t="inlineStr">
        <is>
          <t>Much less than this (&lt;40)</t>
        </is>
      </c>
    </row>
    <row r="534">
      <c r="A534" s="2" t="inlineStr">
        <is>
          <t>I don’t know</t>
        </is>
      </c>
      <c r="B534">
        <f>(F527*B530)/F530</f>
        <v/>
      </c>
      <c r="C534">
        <f>(F527*C530)/F530</f>
        <v/>
      </c>
      <c r="D534">
        <f>(F527*D530)/F530</f>
        <v/>
      </c>
      <c r="E534">
        <f>(F527*E530)/F530</f>
        <v/>
      </c>
    </row>
    <row r="535">
      <c r="A535" s="2" t="inlineStr">
        <is>
          <t>No</t>
        </is>
      </c>
      <c r="B535">
        <f>(F528*B530)/F530</f>
        <v/>
      </c>
      <c r="C535">
        <f>(F528*C530)/F530</f>
        <v/>
      </c>
      <c r="D535">
        <f>(F528*D530)/F530</f>
        <v/>
      </c>
      <c r="E535">
        <f>(F528*E530)/F530</f>
        <v/>
      </c>
    </row>
    <row r="536">
      <c r="A536" s="2" t="inlineStr">
        <is>
          <t>Yes</t>
        </is>
      </c>
      <c r="B536">
        <f>(F529*B530)/F530</f>
        <v/>
      </c>
      <c r="C536">
        <f>(F529*C530)/F530</f>
        <v/>
      </c>
      <c r="D536">
        <f>(F529*D530)/F530</f>
        <v/>
      </c>
      <c r="E536">
        <f>(F529*E530)/F530</f>
        <v/>
      </c>
    </row>
    <row r="539">
      <c r="A539" s="2" t="inlineStr">
        <is>
          <t>Chi-Square Components: (O - E)² / E</t>
        </is>
      </c>
    </row>
    <row r="540">
      <c r="A540" s="2" t="n"/>
      <c r="B540" s="2" t="inlineStr">
        <is>
          <t>40–100</t>
        </is>
      </c>
      <c r="C540" s="2" t="inlineStr">
        <is>
          <t>Don’t know</t>
        </is>
      </c>
      <c r="D540" s="2" t="inlineStr">
        <is>
          <t>More than this (&gt;100)</t>
        </is>
      </c>
      <c r="E540" s="2" t="inlineStr">
        <is>
          <t>Much less than this (&lt;40)</t>
        </is>
      </c>
    </row>
    <row r="541">
      <c r="A541" t="inlineStr">
        <is>
          <t>I don’t know</t>
        </is>
      </c>
      <c r="B541">
        <f>IF(B534&gt;0,POWER(B527-B534,2)/B534,0)</f>
        <v/>
      </c>
      <c r="C541">
        <f>IF(C534&gt;0,POWER(C527-C534,2)/C534,0)</f>
        <v/>
      </c>
      <c r="D541">
        <f>IF(D534&gt;0,POWER(D527-D534,2)/D534,0)</f>
        <v/>
      </c>
      <c r="E541">
        <f>IF(E534&gt;0,POWER(E527-E534,2)/E534,0)</f>
        <v/>
      </c>
    </row>
    <row r="542">
      <c r="A542" t="inlineStr">
        <is>
          <t>No</t>
        </is>
      </c>
      <c r="B542">
        <f>IF(B535&gt;0,POWER(B528-B535,2)/B535,0)</f>
        <v/>
      </c>
      <c r="C542">
        <f>IF(C535&gt;0,POWER(C528-C535,2)/C535,0)</f>
        <v/>
      </c>
      <c r="D542">
        <f>IF(D535&gt;0,POWER(D528-D535,2)/D535,0)</f>
        <v/>
      </c>
      <c r="E542">
        <f>IF(E535&gt;0,POWER(E528-E535,2)/E535,0)</f>
        <v/>
      </c>
    </row>
    <row r="543">
      <c r="A543" t="inlineStr">
        <is>
          <t>Yes</t>
        </is>
      </c>
      <c r="B543">
        <f>IF(B536&gt;0,POWER(B529-B536,2)/B536,0)</f>
        <v/>
      </c>
      <c r="C543">
        <f>IF(C536&gt;0,POWER(C529-C536,2)/C536,0)</f>
        <v/>
      </c>
      <c r="D543">
        <f>IF(D536&gt;0,POWER(D529-D536,2)/D536,0)</f>
        <v/>
      </c>
      <c r="E543">
        <f>IF(E536&gt;0,POWER(E529-E536,2)/E536,0)</f>
        <v/>
      </c>
    </row>
    <row r="546">
      <c r="A546" s="9" t="inlineStr">
        <is>
          <t>Statistical Results</t>
        </is>
      </c>
    </row>
    <row r="547">
      <c r="A547" t="inlineStr">
        <is>
          <t>Chi-Square (χ²):</t>
        </is>
      </c>
      <c r="B547">
        <f>SUM(B541:E543)</f>
        <v/>
      </c>
    </row>
    <row r="548">
      <c r="A548" t="inlineStr">
        <is>
          <t>Degrees of Freedom:</t>
        </is>
      </c>
      <c r="B548" t="n">
        <v>6</v>
      </c>
    </row>
    <row r="549">
      <c r="A549" t="inlineStr">
        <is>
          <t>P-value:</t>
        </is>
      </c>
      <c r="B549">
        <f>_xlfn.CHISQ.DIST.RT(B547,6)</f>
        <v/>
      </c>
    </row>
    <row r="550">
      <c r="A550" t="inlineStr">
        <is>
          <t>Significant (p&lt;0.05)?</t>
        </is>
      </c>
      <c r="B550">
        <f>IF(B549&lt;0.05,"YES ✓","NO")</f>
        <v/>
      </c>
    </row>
    <row r="551">
      <c r="A551" t="inlineStr">
        <is>
          <t>Critical Value (α=0.05):</t>
        </is>
      </c>
      <c r="B551">
        <f>_xlfn.CHISQ.INV.RT(0.05,6)</f>
        <v/>
      </c>
    </row>
    <row r="552">
      <c r="A552" t="inlineStr">
        <is>
          <t>Cramér's V:</t>
        </is>
      </c>
      <c r="B552">
        <f>SQRT(B547/(198*2))</f>
        <v/>
      </c>
    </row>
    <row r="555">
      <c r="A555" s="6" t="inlineStr">
        <is>
          <t>ANALYSIS 19: Gender vs Q30 (Consanguineous)</t>
        </is>
      </c>
    </row>
    <row r="557">
      <c r="A557" s="2" t="inlineStr">
        <is>
          <t>Observed Frequencies</t>
        </is>
      </c>
    </row>
    <row r="558">
      <c r="A558" s="2" t="n"/>
      <c r="B558" s="2" t="inlineStr">
        <is>
          <t>Definitely not</t>
        </is>
      </c>
      <c r="C558" s="2" t="inlineStr">
        <is>
          <t>Not sure</t>
        </is>
      </c>
      <c r="D558" s="2" t="inlineStr">
        <is>
          <t>Yes I am willing</t>
        </is>
      </c>
      <c r="E558" s="2" t="inlineStr">
        <is>
          <t>Yes I have</t>
        </is>
      </c>
      <c r="F558" s="2" t="inlineStr">
        <is>
          <t>Row Total</t>
        </is>
      </c>
    </row>
    <row r="559">
      <c r="A559" t="inlineStr">
        <is>
          <t>Female</t>
        </is>
      </c>
      <c r="B559" t="n">
        <v>93</v>
      </c>
      <c r="C559" t="n">
        <v>21</v>
      </c>
      <c r="D559" t="n">
        <v>0</v>
      </c>
      <c r="E559" t="n">
        <v>1</v>
      </c>
      <c r="F559" t="n">
        <v>115</v>
      </c>
    </row>
    <row r="560">
      <c r="A560" t="inlineStr">
        <is>
          <t>Male</t>
        </is>
      </c>
      <c r="B560" t="n">
        <v>66</v>
      </c>
      <c r="C560" t="n">
        <v>14</v>
      </c>
      <c r="D560" t="n">
        <v>3</v>
      </c>
      <c r="E560" t="n">
        <v>1</v>
      </c>
      <c r="F560" t="n">
        <v>84</v>
      </c>
    </row>
    <row r="561">
      <c r="A561" s="2" t="inlineStr">
        <is>
          <t>Column Total</t>
        </is>
      </c>
      <c r="B561" s="2" t="n">
        <v>159</v>
      </c>
      <c r="C561" s="2" t="n">
        <v>35</v>
      </c>
      <c r="D561" s="2" t="n">
        <v>3</v>
      </c>
      <c r="E561" s="2" t="n">
        <v>2</v>
      </c>
      <c r="F561" s="2" t="n">
        <v>199</v>
      </c>
    </row>
    <row r="563">
      <c r="A563" s="2" t="inlineStr">
        <is>
          <t>Expected Frequencies</t>
        </is>
      </c>
    </row>
    <row r="564">
      <c r="A564" s="2" t="n"/>
      <c r="B564" s="2" t="inlineStr">
        <is>
          <t>Definitely not</t>
        </is>
      </c>
      <c r="C564" s="2" t="inlineStr">
        <is>
          <t>Not sure</t>
        </is>
      </c>
      <c r="D564" s="2" t="inlineStr">
        <is>
          <t>Yes I am willing</t>
        </is>
      </c>
      <c r="E564" s="2" t="inlineStr">
        <is>
          <t>Yes I have</t>
        </is>
      </c>
    </row>
    <row r="565">
      <c r="A565" s="2" t="inlineStr">
        <is>
          <t>Female</t>
        </is>
      </c>
      <c r="B565">
        <f>(F559*B561)/F561</f>
        <v/>
      </c>
      <c r="C565">
        <f>(F559*C561)/F561</f>
        <v/>
      </c>
      <c r="D565">
        <f>(F559*D561)/F561</f>
        <v/>
      </c>
      <c r="E565">
        <f>(F559*E561)/F561</f>
        <v/>
      </c>
    </row>
    <row r="566">
      <c r="A566" s="2" t="inlineStr">
        <is>
          <t>Male</t>
        </is>
      </c>
      <c r="B566">
        <f>(F560*B561)/F561</f>
        <v/>
      </c>
      <c r="C566">
        <f>(F560*C561)/F561</f>
        <v/>
      </c>
      <c r="D566">
        <f>(F560*D561)/F561</f>
        <v/>
      </c>
      <c r="E566">
        <f>(F560*E561)/F561</f>
        <v/>
      </c>
    </row>
    <row r="569">
      <c r="A569" s="2" t="inlineStr">
        <is>
          <t>Chi-Square Components: (O - E)² / E</t>
        </is>
      </c>
    </row>
    <row r="570">
      <c r="A570" s="2" t="n"/>
      <c r="B570" s="2" t="inlineStr">
        <is>
          <t>Definitely not</t>
        </is>
      </c>
      <c r="C570" s="2" t="inlineStr">
        <is>
          <t>Not sure</t>
        </is>
      </c>
      <c r="D570" s="2" t="inlineStr">
        <is>
          <t>Yes I am willing</t>
        </is>
      </c>
      <c r="E570" s="2" t="inlineStr">
        <is>
          <t>Yes I have</t>
        </is>
      </c>
    </row>
    <row r="571">
      <c r="A571" t="inlineStr">
        <is>
          <t>Female</t>
        </is>
      </c>
      <c r="B571">
        <f>IF(B565&gt;0,POWER(B559-B565,2)/B565,0)</f>
        <v/>
      </c>
      <c r="C571">
        <f>IF(C565&gt;0,POWER(C559-C565,2)/C565,0)</f>
        <v/>
      </c>
      <c r="D571">
        <f>IF(D565&gt;0,POWER(D559-D565,2)/D565,0)</f>
        <v/>
      </c>
      <c r="E571">
        <f>IF(E565&gt;0,POWER(E559-E565,2)/E565,0)</f>
        <v/>
      </c>
    </row>
    <row r="572">
      <c r="A572" t="inlineStr">
        <is>
          <t>Male</t>
        </is>
      </c>
      <c r="B572">
        <f>IF(B566&gt;0,POWER(B560-B566,2)/B566,0)</f>
        <v/>
      </c>
      <c r="C572">
        <f>IF(C566&gt;0,POWER(C560-C566,2)/C566,0)</f>
        <v/>
      </c>
      <c r="D572">
        <f>IF(D566&gt;0,POWER(D560-D566,2)/D566,0)</f>
        <v/>
      </c>
      <c r="E572">
        <f>IF(E566&gt;0,POWER(E560-E566,2)/E566,0)</f>
        <v/>
      </c>
    </row>
    <row r="575">
      <c r="A575" s="9" t="inlineStr">
        <is>
          <t>Statistical Results</t>
        </is>
      </c>
    </row>
    <row r="576">
      <c r="A576" t="inlineStr">
        <is>
          <t>Chi-Square (χ²):</t>
        </is>
      </c>
      <c r="B576">
        <f>SUM(B571:E572)</f>
        <v/>
      </c>
    </row>
    <row r="577">
      <c r="A577" t="inlineStr">
        <is>
          <t>Degrees of Freedom:</t>
        </is>
      </c>
      <c r="B577" t="n">
        <v>3</v>
      </c>
    </row>
    <row r="578">
      <c r="A578" t="inlineStr">
        <is>
          <t>P-value:</t>
        </is>
      </c>
      <c r="B578">
        <f>_xlfn.CHISQ.DIST.RT(B576,3)</f>
        <v/>
      </c>
    </row>
    <row r="579">
      <c r="A579" t="inlineStr">
        <is>
          <t>Significant (p&lt;0.05)?</t>
        </is>
      </c>
      <c r="B579">
        <f>IF(B578&lt;0.05,"YES ✓","NO")</f>
        <v/>
      </c>
    </row>
    <row r="580">
      <c r="A580" t="inlineStr">
        <is>
          <t>Critical Value (α=0.05):</t>
        </is>
      </c>
      <c r="B580">
        <f>_xlfn.CHISQ.INV.RT(0.05,3)</f>
        <v/>
      </c>
    </row>
    <row r="581">
      <c r="A581" t="inlineStr">
        <is>
          <t>Cramér's V:</t>
        </is>
      </c>
      <c r="B581">
        <f>SQRT(B576/(199*1))</f>
        <v/>
      </c>
    </row>
    <row r="584">
      <c r="A584" s="6" t="inlineStr">
        <is>
          <t>ANALYSIS 20: Gender vs Q31 (Carrier marriage)</t>
        </is>
      </c>
    </row>
    <row r="586">
      <c r="A586" s="2" t="inlineStr">
        <is>
          <t>Observed Frequencies</t>
        </is>
      </c>
    </row>
    <row r="587">
      <c r="A587" s="2" t="n"/>
      <c r="B587" s="2" t="inlineStr">
        <is>
          <t>No</t>
        </is>
      </c>
      <c r="C587" s="2" t="inlineStr">
        <is>
          <t>Not sure</t>
        </is>
      </c>
      <c r="D587" s="2" t="inlineStr">
        <is>
          <t>Yes</t>
        </is>
      </c>
      <c r="E587" s="2" t="inlineStr">
        <is>
          <t>Row Total</t>
        </is>
      </c>
    </row>
    <row r="588">
      <c r="A588" t="inlineStr">
        <is>
          <t>Female</t>
        </is>
      </c>
      <c r="B588" t="n">
        <v>94</v>
      </c>
      <c r="C588" t="n">
        <v>16</v>
      </c>
      <c r="D588" t="n">
        <v>4</v>
      </c>
      <c r="E588" t="n">
        <v>114</v>
      </c>
    </row>
    <row r="589">
      <c r="A589" t="inlineStr">
        <is>
          <t>Male</t>
        </is>
      </c>
      <c r="B589" t="n">
        <v>60</v>
      </c>
      <c r="C589" t="n">
        <v>17</v>
      </c>
      <c r="D589" t="n">
        <v>6</v>
      </c>
      <c r="E589" t="n">
        <v>83</v>
      </c>
    </row>
    <row r="590">
      <c r="A590" s="2" t="inlineStr">
        <is>
          <t>Column Total</t>
        </is>
      </c>
      <c r="B590" s="2" t="n">
        <v>154</v>
      </c>
      <c r="C590" s="2" t="n">
        <v>33</v>
      </c>
      <c r="D590" s="2" t="n">
        <v>10</v>
      </c>
      <c r="E590" s="2" t="n">
        <v>197</v>
      </c>
    </row>
    <row r="592">
      <c r="A592" s="2" t="inlineStr">
        <is>
          <t>Expected Frequencies</t>
        </is>
      </c>
    </row>
    <row r="593">
      <c r="A593" s="2" t="n"/>
      <c r="B593" s="2" t="inlineStr">
        <is>
          <t>No</t>
        </is>
      </c>
      <c r="C593" s="2" t="inlineStr">
        <is>
          <t>Not sure</t>
        </is>
      </c>
      <c r="D593" s="2" t="inlineStr">
        <is>
          <t>Yes</t>
        </is>
      </c>
    </row>
    <row r="594">
      <c r="A594" s="2" t="inlineStr">
        <is>
          <t>Female</t>
        </is>
      </c>
      <c r="B594">
        <f>(E588*B590)/E590</f>
        <v/>
      </c>
      <c r="C594">
        <f>(E588*C590)/E590</f>
        <v/>
      </c>
      <c r="D594">
        <f>(E588*D590)/E590</f>
        <v/>
      </c>
    </row>
    <row r="595">
      <c r="A595" s="2" t="inlineStr">
        <is>
          <t>Male</t>
        </is>
      </c>
      <c r="B595">
        <f>(E589*B590)/E590</f>
        <v/>
      </c>
      <c r="C595">
        <f>(E589*C590)/E590</f>
        <v/>
      </c>
      <c r="D595">
        <f>(E589*D590)/E590</f>
        <v/>
      </c>
    </row>
    <row r="598">
      <c r="A598" s="2" t="inlineStr">
        <is>
          <t>Chi-Square Components: (O - E)² / E</t>
        </is>
      </c>
    </row>
    <row r="599">
      <c r="A599" s="2" t="n"/>
      <c r="B599" s="2" t="inlineStr">
        <is>
          <t>No</t>
        </is>
      </c>
      <c r="C599" s="2" t="inlineStr">
        <is>
          <t>Not sure</t>
        </is>
      </c>
      <c r="D599" s="2" t="inlineStr">
        <is>
          <t>Yes</t>
        </is>
      </c>
    </row>
    <row r="600">
      <c r="A600" t="inlineStr">
        <is>
          <t>Female</t>
        </is>
      </c>
      <c r="B600">
        <f>IF(B594&gt;0,POWER(B588-B594,2)/B594,0)</f>
        <v/>
      </c>
      <c r="C600">
        <f>IF(C594&gt;0,POWER(C588-C594,2)/C594,0)</f>
        <v/>
      </c>
      <c r="D600">
        <f>IF(D594&gt;0,POWER(D588-D594,2)/D594,0)</f>
        <v/>
      </c>
    </row>
    <row r="601">
      <c r="A601" t="inlineStr">
        <is>
          <t>Male</t>
        </is>
      </c>
      <c r="B601">
        <f>IF(B595&gt;0,POWER(B589-B595,2)/B595,0)</f>
        <v/>
      </c>
      <c r="C601">
        <f>IF(C595&gt;0,POWER(C589-C595,2)/C595,0)</f>
        <v/>
      </c>
      <c r="D601">
        <f>IF(D595&gt;0,POWER(D589-D595,2)/D595,0)</f>
        <v/>
      </c>
    </row>
    <row r="604">
      <c r="A604" s="9" t="inlineStr">
        <is>
          <t>Statistical Results</t>
        </is>
      </c>
    </row>
    <row r="605">
      <c r="A605" t="inlineStr">
        <is>
          <t>Chi-Square (χ²):</t>
        </is>
      </c>
      <c r="B605">
        <f>SUM(B600:D601)</f>
        <v/>
      </c>
    </row>
    <row r="606">
      <c r="A606" t="inlineStr">
        <is>
          <t>Degrees of Freedom:</t>
        </is>
      </c>
      <c r="B606" t="n">
        <v>2</v>
      </c>
    </row>
    <row r="607">
      <c r="A607" t="inlineStr">
        <is>
          <t>P-value:</t>
        </is>
      </c>
      <c r="B607">
        <f>_xlfn.CHISQ.DIST.RT(B605,2)</f>
        <v/>
      </c>
    </row>
    <row r="608">
      <c r="A608" t="inlineStr">
        <is>
          <t>Significant (p&lt;0.05)?</t>
        </is>
      </c>
      <c r="B608">
        <f>IF(B607&lt;0.05,"YES ✓","NO")</f>
        <v/>
      </c>
    </row>
    <row r="609">
      <c r="A609" t="inlineStr">
        <is>
          <t>Critical Value (α=0.05):</t>
        </is>
      </c>
      <c r="B609">
        <f>_xlfn.CHISQ.INV.RT(0.05,2)</f>
        <v/>
      </c>
    </row>
    <row r="610">
      <c r="A610" t="inlineStr">
        <is>
          <t>Cramér's V:</t>
        </is>
      </c>
      <c r="B610">
        <f>SQRT(B605/(197*1))</f>
        <v/>
      </c>
    </row>
    <row r="613">
      <c r="A613" s="6" t="inlineStr">
        <is>
          <t>ANALYSIS 21: Gender vs Q35 (Family screening)</t>
        </is>
      </c>
    </row>
    <row r="615">
      <c r="A615" s="2" t="inlineStr">
        <is>
          <t>Observed Frequencies</t>
        </is>
      </c>
    </row>
    <row r="616">
      <c r="A616" s="2" t="n"/>
      <c r="B616" s="2" t="inlineStr">
        <is>
          <t>Agree</t>
        </is>
      </c>
      <c r="C616" s="2" t="inlineStr">
        <is>
          <t>Disagree</t>
        </is>
      </c>
      <c r="D616" s="2" t="inlineStr">
        <is>
          <t>Don’t know</t>
        </is>
      </c>
      <c r="E616" s="2" t="inlineStr">
        <is>
          <t>Row Total</t>
        </is>
      </c>
    </row>
    <row r="617">
      <c r="A617" t="inlineStr">
        <is>
          <t>Female</t>
        </is>
      </c>
      <c r="B617" t="n">
        <v>109</v>
      </c>
      <c r="C617" t="n">
        <v>2</v>
      </c>
      <c r="D617" t="n">
        <v>3</v>
      </c>
      <c r="E617" t="n">
        <v>114</v>
      </c>
    </row>
    <row r="618">
      <c r="A618" t="inlineStr">
        <is>
          <t>Male</t>
        </is>
      </c>
      <c r="B618" t="n">
        <v>81</v>
      </c>
      <c r="C618" t="n">
        <v>2</v>
      </c>
      <c r="D618" t="n">
        <v>2</v>
      </c>
      <c r="E618" t="n">
        <v>85</v>
      </c>
    </row>
    <row r="619">
      <c r="A619" s="2" t="inlineStr">
        <is>
          <t>Column Total</t>
        </is>
      </c>
      <c r="B619" s="2" t="n">
        <v>190</v>
      </c>
      <c r="C619" s="2" t="n">
        <v>4</v>
      </c>
      <c r="D619" s="2" t="n">
        <v>5</v>
      </c>
      <c r="E619" s="2" t="n">
        <v>199</v>
      </c>
    </row>
    <row r="621">
      <c r="A621" s="2" t="inlineStr">
        <is>
          <t>Expected Frequencies</t>
        </is>
      </c>
    </row>
    <row r="622">
      <c r="A622" s="2" t="n"/>
      <c r="B622" s="2" t="inlineStr">
        <is>
          <t>Agree</t>
        </is>
      </c>
      <c r="C622" s="2" t="inlineStr">
        <is>
          <t>Disagree</t>
        </is>
      </c>
      <c r="D622" s="2" t="inlineStr">
        <is>
          <t>Don’t know</t>
        </is>
      </c>
    </row>
    <row r="623">
      <c r="A623" s="2" t="inlineStr">
        <is>
          <t>Female</t>
        </is>
      </c>
      <c r="B623">
        <f>(E617*B619)/E619</f>
        <v/>
      </c>
      <c r="C623">
        <f>(E617*C619)/E619</f>
        <v/>
      </c>
      <c r="D623">
        <f>(E617*D619)/E619</f>
        <v/>
      </c>
    </row>
    <row r="624">
      <c r="A624" s="2" t="inlineStr">
        <is>
          <t>Male</t>
        </is>
      </c>
      <c r="B624">
        <f>(E618*B619)/E619</f>
        <v/>
      </c>
      <c r="C624">
        <f>(E618*C619)/E619</f>
        <v/>
      </c>
      <c r="D624">
        <f>(E618*D619)/E619</f>
        <v/>
      </c>
    </row>
    <row r="627">
      <c r="A627" s="2" t="inlineStr">
        <is>
          <t>Chi-Square Components: (O - E)² / E</t>
        </is>
      </c>
    </row>
    <row r="628">
      <c r="A628" s="2" t="n"/>
      <c r="B628" s="2" t="inlineStr">
        <is>
          <t>Agree</t>
        </is>
      </c>
      <c r="C628" s="2" t="inlineStr">
        <is>
          <t>Disagree</t>
        </is>
      </c>
      <c r="D628" s="2" t="inlineStr">
        <is>
          <t>Don’t know</t>
        </is>
      </c>
    </row>
    <row r="629">
      <c r="A629" t="inlineStr">
        <is>
          <t>Female</t>
        </is>
      </c>
      <c r="B629">
        <f>IF(B623&gt;0,POWER(B617-B623,2)/B623,0)</f>
        <v/>
      </c>
      <c r="C629">
        <f>IF(C623&gt;0,POWER(C617-C623,2)/C623,0)</f>
        <v/>
      </c>
      <c r="D629">
        <f>IF(D623&gt;0,POWER(D617-D623,2)/D623,0)</f>
        <v/>
      </c>
    </row>
    <row r="630">
      <c r="A630" t="inlineStr">
        <is>
          <t>Male</t>
        </is>
      </c>
      <c r="B630">
        <f>IF(B624&gt;0,POWER(B618-B624,2)/B624,0)</f>
        <v/>
      </c>
      <c r="C630">
        <f>IF(C624&gt;0,POWER(C618-C624,2)/C624,0)</f>
        <v/>
      </c>
      <c r="D630">
        <f>IF(D624&gt;0,POWER(D618-D624,2)/D624,0)</f>
        <v/>
      </c>
    </row>
    <row r="633">
      <c r="A633" s="9" t="inlineStr">
        <is>
          <t>Statistical Results</t>
        </is>
      </c>
    </row>
    <row r="634">
      <c r="A634" t="inlineStr">
        <is>
          <t>Chi-Square (χ²):</t>
        </is>
      </c>
      <c r="B634">
        <f>SUM(B629:D630)</f>
        <v/>
      </c>
    </row>
    <row r="635">
      <c r="A635" t="inlineStr">
        <is>
          <t>Degrees of Freedom:</t>
        </is>
      </c>
      <c r="B635" t="n">
        <v>2</v>
      </c>
    </row>
    <row r="636">
      <c r="A636" t="inlineStr">
        <is>
          <t>P-value:</t>
        </is>
      </c>
      <c r="B636">
        <f>_xlfn.CHISQ.DIST.RT(B634,2)</f>
        <v/>
      </c>
    </row>
    <row r="637">
      <c r="A637" t="inlineStr">
        <is>
          <t>Significant (p&lt;0.05)?</t>
        </is>
      </c>
      <c r="B637">
        <f>IF(B636&lt;0.05,"YES ✓","NO")</f>
        <v/>
      </c>
    </row>
    <row r="638">
      <c r="A638" t="inlineStr">
        <is>
          <t>Critical Value (α=0.05):</t>
        </is>
      </c>
      <c r="B638">
        <f>_xlfn.CHISQ.INV.RT(0.05,2)</f>
        <v/>
      </c>
    </row>
    <row r="639">
      <c r="A639" t="inlineStr">
        <is>
          <t>Cramér's V:</t>
        </is>
      </c>
      <c r="B639">
        <f>SQRT(B634/(199*1))</f>
        <v/>
      </c>
    </row>
    <row r="642">
      <c r="A642" s="6" t="inlineStr">
        <is>
          <t>ANALYSIS 22: Gender vs Q36 (Status disclosure)</t>
        </is>
      </c>
    </row>
    <row r="644">
      <c r="A644" s="2" t="inlineStr">
        <is>
          <t>Observed Frequencies</t>
        </is>
      </c>
    </row>
    <row r="645">
      <c r="A645" s="2" t="n"/>
      <c r="B645" s="2" t="inlineStr">
        <is>
          <t>No</t>
        </is>
      </c>
      <c r="C645" s="2" t="inlineStr">
        <is>
          <t>Yes</t>
        </is>
      </c>
      <c r="D645" s="2" t="inlineStr">
        <is>
          <t>Row Total</t>
        </is>
      </c>
    </row>
    <row r="646">
      <c r="A646" t="inlineStr">
        <is>
          <t>Female</t>
        </is>
      </c>
      <c r="B646" t="n">
        <v>6</v>
      </c>
      <c r="C646" t="n">
        <v>106</v>
      </c>
      <c r="D646" t="n">
        <v>112</v>
      </c>
    </row>
    <row r="647">
      <c r="A647" t="inlineStr">
        <is>
          <t>Male</t>
        </is>
      </c>
      <c r="B647" t="n">
        <v>9</v>
      </c>
      <c r="C647" t="n">
        <v>75</v>
      </c>
      <c r="D647" t="n">
        <v>84</v>
      </c>
    </row>
    <row r="648">
      <c r="A648" s="2" t="inlineStr">
        <is>
          <t>Column Total</t>
        </is>
      </c>
      <c r="B648" s="2" t="n">
        <v>15</v>
      </c>
      <c r="C648" s="2" t="n">
        <v>181</v>
      </c>
      <c r="D648" s="2" t="n">
        <v>196</v>
      </c>
    </row>
    <row r="650">
      <c r="A650" s="2" t="inlineStr">
        <is>
          <t>Expected Frequencies</t>
        </is>
      </c>
    </row>
    <row r="651">
      <c r="A651" s="2" t="n"/>
      <c r="B651" s="2" t="inlineStr">
        <is>
          <t>No</t>
        </is>
      </c>
      <c r="C651" s="2" t="inlineStr">
        <is>
          <t>Yes</t>
        </is>
      </c>
    </row>
    <row r="652">
      <c r="A652" s="2" t="inlineStr">
        <is>
          <t>Female</t>
        </is>
      </c>
      <c r="B652">
        <f>(D646*B648)/D648</f>
        <v/>
      </c>
      <c r="C652">
        <f>(D646*C648)/D648</f>
        <v/>
      </c>
    </row>
    <row r="653">
      <c r="A653" s="2" t="inlineStr">
        <is>
          <t>Male</t>
        </is>
      </c>
      <c r="B653">
        <f>(D647*B648)/D648</f>
        <v/>
      </c>
      <c r="C653">
        <f>(D647*C648)/D648</f>
        <v/>
      </c>
    </row>
    <row r="656">
      <c r="A656" s="2" t="inlineStr">
        <is>
          <t>Chi-Square Components: (O - E)² / E</t>
        </is>
      </c>
    </row>
    <row r="657">
      <c r="A657" s="2" t="n"/>
      <c r="B657" s="2" t="inlineStr">
        <is>
          <t>No</t>
        </is>
      </c>
      <c r="C657" s="2" t="inlineStr">
        <is>
          <t>Yes</t>
        </is>
      </c>
    </row>
    <row r="658">
      <c r="A658" t="inlineStr">
        <is>
          <t>Female</t>
        </is>
      </c>
      <c r="B658">
        <f>IF(B652&gt;0,POWER(B646-B652,2)/B652,0)</f>
        <v/>
      </c>
      <c r="C658">
        <f>IF(C652&gt;0,POWER(C646-C652,2)/C652,0)</f>
        <v/>
      </c>
    </row>
    <row r="659">
      <c r="A659" t="inlineStr">
        <is>
          <t>Male</t>
        </is>
      </c>
      <c r="B659">
        <f>IF(B653&gt;0,POWER(B647-B653,2)/B653,0)</f>
        <v/>
      </c>
      <c r="C659">
        <f>IF(C653&gt;0,POWER(C647-C653,2)/C653,0)</f>
        <v/>
      </c>
    </row>
    <row r="662">
      <c r="A662" s="9" t="inlineStr">
        <is>
          <t>Statistical Results</t>
        </is>
      </c>
    </row>
    <row r="663">
      <c r="A663" t="inlineStr">
        <is>
          <t>Chi-Square (χ²):</t>
        </is>
      </c>
      <c r="B663">
        <f>SUM(B658:C659)</f>
        <v/>
      </c>
    </row>
    <row r="664">
      <c r="A664" t="inlineStr">
        <is>
          <t>Degrees of Freedom:</t>
        </is>
      </c>
      <c r="B664" t="n">
        <v>1</v>
      </c>
    </row>
    <row r="665">
      <c r="A665" t="inlineStr">
        <is>
          <t>P-value:</t>
        </is>
      </c>
      <c r="B665">
        <f>_xlfn.CHISQ.DIST.RT(B663,1)</f>
        <v/>
      </c>
    </row>
    <row r="666">
      <c r="A666" t="inlineStr">
        <is>
          <t>Significant (p&lt;0.05)?</t>
        </is>
      </c>
      <c r="B666">
        <f>IF(B665&lt;0.05,"YES ✓","NO")</f>
        <v/>
      </c>
    </row>
    <row r="667">
      <c r="A667" t="inlineStr">
        <is>
          <t>Critical Value (α=0.05):</t>
        </is>
      </c>
      <c r="B667">
        <f>_xlfn.CHISQ.INV.RT(0.05,1)</f>
        <v/>
      </c>
    </row>
    <row r="668">
      <c r="A668" t="inlineStr">
        <is>
          <t>Cramér's V:</t>
        </is>
      </c>
      <c r="B668">
        <f>SQRT(B663/(196*1))</f>
        <v/>
      </c>
    </row>
    <row r="671">
      <c r="A671" s="6" t="inlineStr">
        <is>
          <t>ANALYSIS 23: Education vs Q30 (Consanguineous)</t>
        </is>
      </c>
    </row>
    <row r="673">
      <c r="A673" s="2" t="inlineStr">
        <is>
          <t>Observed Frequencies</t>
        </is>
      </c>
    </row>
    <row r="674">
      <c r="A674" s="2" t="n"/>
      <c r="B674" s="2" t="inlineStr">
        <is>
          <t>Definitely not</t>
        </is>
      </c>
      <c r="C674" s="2" t="inlineStr">
        <is>
          <t>Not sure</t>
        </is>
      </c>
      <c r="D674" s="2" t="inlineStr">
        <is>
          <t>Yes I am willing</t>
        </is>
      </c>
      <c r="E674" s="2" t="inlineStr">
        <is>
          <t>Yes I have</t>
        </is>
      </c>
      <c r="F674" s="2" t="inlineStr">
        <is>
          <t>Row Total</t>
        </is>
      </c>
    </row>
    <row r="675">
      <c r="A675" t="inlineStr">
        <is>
          <t>Graduate</t>
        </is>
      </c>
      <c r="B675" t="n">
        <v>30</v>
      </c>
      <c r="C675" t="n">
        <v>5</v>
      </c>
      <c r="D675" t="n">
        <v>1</v>
      </c>
      <c r="E675" t="n">
        <v>0</v>
      </c>
      <c r="F675" t="n">
        <v>36</v>
      </c>
    </row>
    <row r="676">
      <c r="A676" t="inlineStr">
        <is>
          <t>Undergraduate</t>
        </is>
      </c>
      <c r="B676" t="n">
        <v>39</v>
      </c>
      <c r="C676" t="n">
        <v>3</v>
      </c>
      <c r="D676" t="n">
        <v>1</v>
      </c>
      <c r="E676" t="n">
        <v>0</v>
      </c>
      <c r="F676" t="n">
        <v>43</v>
      </c>
    </row>
    <row r="677">
      <c r="A677" t="inlineStr">
        <is>
          <t>Up to A/L</t>
        </is>
      </c>
      <c r="B677" t="n">
        <v>65</v>
      </c>
      <c r="C677" t="n">
        <v>16</v>
      </c>
      <c r="D677" t="n">
        <v>1</v>
      </c>
      <c r="E677" t="n">
        <v>0</v>
      </c>
      <c r="F677" t="n">
        <v>82</v>
      </c>
    </row>
    <row r="678">
      <c r="A678" t="inlineStr">
        <is>
          <t>Up to O/L</t>
        </is>
      </c>
      <c r="B678" t="n">
        <v>24</v>
      </c>
      <c r="C678" t="n">
        <v>11</v>
      </c>
      <c r="D678" t="n">
        <v>0</v>
      </c>
      <c r="E678" t="n">
        <v>2</v>
      </c>
      <c r="F678" t="n">
        <v>37</v>
      </c>
    </row>
    <row r="679">
      <c r="A679" s="2" t="inlineStr">
        <is>
          <t>Column Total</t>
        </is>
      </c>
      <c r="B679" s="2" t="n">
        <v>158</v>
      </c>
      <c r="C679" s="2" t="n">
        <v>35</v>
      </c>
      <c r="D679" s="2" t="n">
        <v>3</v>
      </c>
      <c r="E679" s="2" t="n">
        <v>2</v>
      </c>
      <c r="F679" s="2" t="n">
        <v>198</v>
      </c>
    </row>
    <row r="681">
      <c r="A681" s="2" t="inlineStr">
        <is>
          <t>Expected Frequencies</t>
        </is>
      </c>
    </row>
    <row r="682">
      <c r="A682" s="2" t="n"/>
      <c r="B682" s="2" t="inlineStr">
        <is>
          <t>Definitely not</t>
        </is>
      </c>
      <c r="C682" s="2" t="inlineStr">
        <is>
          <t>Not sure</t>
        </is>
      </c>
      <c r="D682" s="2" t="inlineStr">
        <is>
          <t>Yes I am willing</t>
        </is>
      </c>
      <c r="E682" s="2" t="inlineStr">
        <is>
          <t>Yes I have</t>
        </is>
      </c>
    </row>
    <row r="683">
      <c r="A683" s="2" t="inlineStr">
        <is>
          <t>Graduate</t>
        </is>
      </c>
      <c r="B683">
        <f>(F675*B679)/F679</f>
        <v/>
      </c>
      <c r="C683">
        <f>(F675*C679)/F679</f>
        <v/>
      </c>
      <c r="D683">
        <f>(F675*D679)/F679</f>
        <v/>
      </c>
      <c r="E683">
        <f>(F675*E679)/F679</f>
        <v/>
      </c>
    </row>
    <row r="684">
      <c r="A684" s="2" t="inlineStr">
        <is>
          <t>Undergraduate</t>
        </is>
      </c>
      <c r="B684">
        <f>(F676*B679)/F679</f>
        <v/>
      </c>
      <c r="C684">
        <f>(F676*C679)/F679</f>
        <v/>
      </c>
      <c r="D684">
        <f>(F676*D679)/F679</f>
        <v/>
      </c>
      <c r="E684">
        <f>(F676*E679)/F679</f>
        <v/>
      </c>
    </row>
    <row r="685">
      <c r="A685" s="2" t="inlineStr">
        <is>
          <t>Up to A/L</t>
        </is>
      </c>
      <c r="B685">
        <f>(F677*B679)/F679</f>
        <v/>
      </c>
      <c r="C685">
        <f>(F677*C679)/F679</f>
        <v/>
      </c>
      <c r="D685">
        <f>(F677*D679)/F679</f>
        <v/>
      </c>
      <c r="E685">
        <f>(F677*E679)/F679</f>
        <v/>
      </c>
    </row>
    <row r="686">
      <c r="A686" s="2" t="inlineStr">
        <is>
          <t>Up to O/L</t>
        </is>
      </c>
      <c r="B686">
        <f>(F678*B679)/F679</f>
        <v/>
      </c>
      <c r="C686">
        <f>(F678*C679)/F679</f>
        <v/>
      </c>
      <c r="D686">
        <f>(F678*D679)/F679</f>
        <v/>
      </c>
      <c r="E686">
        <f>(F678*E679)/F679</f>
        <v/>
      </c>
    </row>
    <row r="689">
      <c r="A689" s="2" t="inlineStr">
        <is>
          <t>Chi-Square Components: (O - E)² / E</t>
        </is>
      </c>
    </row>
    <row r="690">
      <c r="A690" s="2" t="n"/>
      <c r="B690" s="2" t="inlineStr">
        <is>
          <t>Definitely not</t>
        </is>
      </c>
      <c r="C690" s="2" t="inlineStr">
        <is>
          <t>Not sure</t>
        </is>
      </c>
      <c r="D690" s="2" t="inlineStr">
        <is>
          <t>Yes I am willing</t>
        </is>
      </c>
      <c r="E690" s="2" t="inlineStr">
        <is>
          <t>Yes I have</t>
        </is>
      </c>
    </row>
    <row r="691">
      <c r="A691" t="inlineStr">
        <is>
          <t>Graduate</t>
        </is>
      </c>
      <c r="B691">
        <f>IF(B683&gt;0,POWER(B675-B683,2)/B683,0)</f>
        <v/>
      </c>
      <c r="C691">
        <f>IF(C683&gt;0,POWER(C675-C683,2)/C683,0)</f>
        <v/>
      </c>
      <c r="D691">
        <f>IF(D683&gt;0,POWER(D675-D683,2)/D683,0)</f>
        <v/>
      </c>
      <c r="E691">
        <f>IF(E683&gt;0,POWER(E675-E683,2)/E683,0)</f>
        <v/>
      </c>
    </row>
    <row r="692">
      <c r="A692" t="inlineStr">
        <is>
          <t>Undergraduate</t>
        </is>
      </c>
      <c r="B692">
        <f>IF(B684&gt;0,POWER(B676-B684,2)/B684,0)</f>
        <v/>
      </c>
      <c r="C692">
        <f>IF(C684&gt;0,POWER(C676-C684,2)/C684,0)</f>
        <v/>
      </c>
      <c r="D692">
        <f>IF(D684&gt;0,POWER(D676-D684,2)/D684,0)</f>
        <v/>
      </c>
      <c r="E692">
        <f>IF(E684&gt;0,POWER(E676-E684,2)/E684,0)</f>
        <v/>
      </c>
    </row>
    <row r="693">
      <c r="A693" t="inlineStr">
        <is>
          <t>Up to A/L</t>
        </is>
      </c>
      <c r="B693">
        <f>IF(B685&gt;0,POWER(B677-B685,2)/B685,0)</f>
        <v/>
      </c>
      <c r="C693">
        <f>IF(C685&gt;0,POWER(C677-C685,2)/C685,0)</f>
        <v/>
      </c>
      <c r="D693">
        <f>IF(D685&gt;0,POWER(D677-D685,2)/D685,0)</f>
        <v/>
      </c>
      <c r="E693">
        <f>IF(E685&gt;0,POWER(E677-E685,2)/E685,0)</f>
        <v/>
      </c>
    </row>
    <row r="694">
      <c r="A694" t="inlineStr">
        <is>
          <t>Up to O/L</t>
        </is>
      </c>
      <c r="B694">
        <f>IF(B686&gt;0,POWER(B678-B686,2)/B686,0)</f>
        <v/>
      </c>
      <c r="C694">
        <f>IF(C686&gt;0,POWER(C678-C686,2)/C686,0)</f>
        <v/>
      </c>
      <c r="D694">
        <f>IF(D686&gt;0,POWER(D678-D686,2)/D686,0)</f>
        <v/>
      </c>
      <c r="E694">
        <f>IF(E686&gt;0,POWER(E678-E686,2)/E686,0)</f>
        <v/>
      </c>
    </row>
    <row r="697">
      <c r="A697" s="9" t="inlineStr">
        <is>
          <t>Statistical Results</t>
        </is>
      </c>
    </row>
    <row r="698">
      <c r="A698" t="inlineStr">
        <is>
          <t>Chi-Square (χ²):</t>
        </is>
      </c>
      <c r="B698">
        <f>SUM(B691:E694)</f>
        <v/>
      </c>
    </row>
    <row r="699">
      <c r="A699" t="inlineStr">
        <is>
          <t>Degrees of Freedom:</t>
        </is>
      </c>
      <c r="B699" t="n">
        <v>9</v>
      </c>
    </row>
    <row r="700">
      <c r="A700" t="inlineStr">
        <is>
          <t>P-value:</t>
        </is>
      </c>
      <c r="B700">
        <f>_xlfn.CHISQ.DIST.RT(B698,9)</f>
        <v/>
      </c>
    </row>
    <row r="701">
      <c r="A701" t="inlineStr">
        <is>
          <t>Significant (p&lt;0.05)?</t>
        </is>
      </c>
      <c r="B701">
        <f>IF(B700&lt;0.05,"YES ✓","NO")</f>
        <v/>
      </c>
    </row>
    <row r="702">
      <c r="A702" t="inlineStr">
        <is>
          <t>Critical Value (α=0.05):</t>
        </is>
      </c>
      <c r="B702">
        <f>_xlfn.CHISQ.INV.RT(0.05,9)</f>
        <v/>
      </c>
    </row>
    <row r="703">
      <c r="A703" t="inlineStr">
        <is>
          <t>Cramér's V:</t>
        </is>
      </c>
      <c r="B703">
        <f>SQRT(B698/(198*3))</f>
        <v/>
      </c>
    </row>
    <row r="706">
      <c r="A706" s="6" t="inlineStr">
        <is>
          <t>ANALYSIS 24: Education vs Q31 (Carrier marriage)</t>
        </is>
      </c>
    </row>
    <row r="708">
      <c r="A708" s="2" t="inlineStr">
        <is>
          <t>Observed Frequencies</t>
        </is>
      </c>
    </row>
    <row r="709">
      <c r="A709" s="2" t="n"/>
      <c r="B709" s="2" t="inlineStr">
        <is>
          <t>No</t>
        </is>
      </c>
      <c r="C709" s="2" t="inlineStr">
        <is>
          <t>Not sure</t>
        </is>
      </c>
      <c r="D709" s="2" t="inlineStr">
        <is>
          <t>Yes</t>
        </is>
      </c>
      <c r="E709" s="2" t="inlineStr">
        <is>
          <t>Row Total</t>
        </is>
      </c>
    </row>
    <row r="710">
      <c r="A710" t="inlineStr">
        <is>
          <t>Graduate</t>
        </is>
      </c>
      <c r="B710" t="n">
        <v>31</v>
      </c>
      <c r="C710" t="n">
        <v>4</v>
      </c>
      <c r="D710" t="n">
        <v>1</v>
      </c>
      <c r="E710" t="n">
        <v>36</v>
      </c>
    </row>
    <row r="711">
      <c r="A711" t="inlineStr">
        <is>
          <t>Undergraduate</t>
        </is>
      </c>
      <c r="B711" t="n">
        <v>38</v>
      </c>
      <c r="C711" t="n">
        <v>4</v>
      </c>
      <c r="D711" t="n">
        <v>0</v>
      </c>
      <c r="E711" t="n">
        <v>42</v>
      </c>
    </row>
    <row r="712">
      <c r="A712" t="inlineStr">
        <is>
          <t>Up to A/L</t>
        </is>
      </c>
      <c r="B712" t="n">
        <v>56</v>
      </c>
      <c r="C712" t="n">
        <v>18</v>
      </c>
      <c r="D712" t="n">
        <v>8</v>
      </c>
      <c r="E712" t="n">
        <v>82</v>
      </c>
    </row>
    <row r="713">
      <c r="A713" t="inlineStr">
        <is>
          <t>Up to O/L</t>
        </is>
      </c>
      <c r="B713" t="n">
        <v>28</v>
      </c>
      <c r="C713" t="n">
        <v>7</v>
      </c>
      <c r="D713" t="n">
        <v>1</v>
      </c>
      <c r="E713" t="n">
        <v>36</v>
      </c>
    </row>
    <row r="714">
      <c r="A714" s="2" t="inlineStr">
        <is>
          <t>Column Total</t>
        </is>
      </c>
      <c r="B714" s="2" t="n">
        <v>153</v>
      </c>
      <c r="C714" s="2" t="n">
        <v>33</v>
      </c>
      <c r="D714" s="2" t="n">
        <v>10</v>
      </c>
      <c r="E714" s="2" t="n">
        <v>196</v>
      </c>
    </row>
    <row r="716">
      <c r="A716" s="2" t="inlineStr">
        <is>
          <t>Expected Frequencies</t>
        </is>
      </c>
    </row>
    <row r="717">
      <c r="A717" s="2" t="n"/>
      <c r="B717" s="2" t="inlineStr">
        <is>
          <t>No</t>
        </is>
      </c>
      <c r="C717" s="2" t="inlineStr">
        <is>
          <t>Not sure</t>
        </is>
      </c>
      <c r="D717" s="2" t="inlineStr">
        <is>
          <t>Yes</t>
        </is>
      </c>
    </row>
    <row r="718">
      <c r="A718" s="2" t="inlineStr">
        <is>
          <t>Graduate</t>
        </is>
      </c>
      <c r="B718">
        <f>(E710*B714)/E714</f>
        <v/>
      </c>
      <c r="C718">
        <f>(E710*C714)/E714</f>
        <v/>
      </c>
      <c r="D718">
        <f>(E710*D714)/E714</f>
        <v/>
      </c>
    </row>
    <row r="719">
      <c r="A719" s="2" t="inlineStr">
        <is>
          <t>Undergraduate</t>
        </is>
      </c>
      <c r="B719">
        <f>(E711*B714)/E714</f>
        <v/>
      </c>
      <c r="C719">
        <f>(E711*C714)/E714</f>
        <v/>
      </c>
      <c r="D719">
        <f>(E711*D714)/E714</f>
        <v/>
      </c>
    </row>
    <row r="720">
      <c r="A720" s="2" t="inlineStr">
        <is>
          <t>Up to A/L</t>
        </is>
      </c>
      <c r="B720">
        <f>(E712*B714)/E714</f>
        <v/>
      </c>
      <c r="C720">
        <f>(E712*C714)/E714</f>
        <v/>
      </c>
      <c r="D720">
        <f>(E712*D714)/E714</f>
        <v/>
      </c>
    </row>
    <row r="721">
      <c r="A721" s="2" t="inlineStr">
        <is>
          <t>Up to O/L</t>
        </is>
      </c>
      <c r="B721">
        <f>(E713*B714)/E714</f>
        <v/>
      </c>
      <c r="C721">
        <f>(E713*C714)/E714</f>
        <v/>
      </c>
      <c r="D721">
        <f>(E713*D714)/E714</f>
        <v/>
      </c>
    </row>
    <row r="724">
      <c r="A724" s="2" t="inlineStr">
        <is>
          <t>Chi-Square Components: (O - E)² / E</t>
        </is>
      </c>
    </row>
    <row r="725">
      <c r="A725" s="2" t="n"/>
      <c r="B725" s="2" t="inlineStr">
        <is>
          <t>No</t>
        </is>
      </c>
      <c r="C725" s="2" t="inlineStr">
        <is>
          <t>Not sure</t>
        </is>
      </c>
      <c r="D725" s="2" t="inlineStr">
        <is>
          <t>Yes</t>
        </is>
      </c>
    </row>
    <row r="726">
      <c r="A726" t="inlineStr">
        <is>
          <t>Graduate</t>
        </is>
      </c>
      <c r="B726">
        <f>IF(B718&gt;0,POWER(B710-B718,2)/B718,0)</f>
        <v/>
      </c>
      <c r="C726">
        <f>IF(C718&gt;0,POWER(C710-C718,2)/C718,0)</f>
        <v/>
      </c>
      <c r="D726">
        <f>IF(D718&gt;0,POWER(D710-D718,2)/D718,0)</f>
        <v/>
      </c>
    </row>
    <row r="727">
      <c r="A727" t="inlineStr">
        <is>
          <t>Undergraduate</t>
        </is>
      </c>
      <c r="B727">
        <f>IF(B719&gt;0,POWER(B711-B719,2)/B719,0)</f>
        <v/>
      </c>
      <c r="C727">
        <f>IF(C719&gt;0,POWER(C711-C719,2)/C719,0)</f>
        <v/>
      </c>
      <c r="D727">
        <f>IF(D719&gt;0,POWER(D711-D719,2)/D719,0)</f>
        <v/>
      </c>
    </row>
    <row r="728">
      <c r="A728" t="inlineStr">
        <is>
          <t>Up to A/L</t>
        </is>
      </c>
      <c r="B728">
        <f>IF(B720&gt;0,POWER(B712-B720,2)/B720,0)</f>
        <v/>
      </c>
      <c r="C728">
        <f>IF(C720&gt;0,POWER(C712-C720,2)/C720,0)</f>
        <v/>
      </c>
      <c r="D728">
        <f>IF(D720&gt;0,POWER(D712-D720,2)/D720,0)</f>
        <v/>
      </c>
    </row>
    <row r="729">
      <c r="A729" t="inlineStr">
        <is>
          <t>Up to O/L</t>
        </is>
      </c>
      <c r="B729">
        <f>IF(B721&gt;0,POWER(B713-B721,2)/B721,0)</f>
        <v/>
      </c>
      <c r="C729">
        <f>IF(C721&gt;0,POWER(C713-C721,2)/C721,0)</f>
        <v/>
      </c>
      <c r="D729">
        <f>IF(D721&gt;0,POWER(D713-D721,2)/D721,0)</f>
        <v/>
      </c>
    </row>
    <row r="732">
      <c r="A732" s="9" t="inlineStr">
        <is>
          <t>Statistical Results</t>
        </is>
      </c>
    </row>
    <row r="733">
      <c r="A733" t="inlineStr">
        <is>
          <t>Chi-Square (χ²):</t>
        </is>
      </c>
      <c r="B733">
        <f>SUM(B726:D729)</f>
        <v/>
      </c>
    </row>
    <row r="734">
      <c r="A734" t="inlineStr">
        <is>
          <t>Degrees of Freedom:</t>
        </is>
      </c>
      <c r="B734" t="n">
        <v>6</v>
      </c>
    </row>
    <row r="735">
      <c r="A735" t="inlineStr">
        <is>
          <t>P-value:</t>
        </is>
      </c>
      <c r="B735">
        <f>_xlfn.CHISQ.DIST.RT(B733,6)</f>
        <v/>
      </c>
    </row>
    <row r="736">
      <c r="A736" t="inlineStr">
        <is>
          <t>Significant (p&lt;0.05)?</t>
        </is>
      </c>
      <c r="B736">
        <f>IF(B735&lt;0.05,"YES ✓","NO")</f>
        <v/>
      </c>
    </row>
    <row r="737">
      <c r="A737" t="inlineStr">
        <is>
          <t>Critical Value (α=0.05):</t>
        </is>
      </c>
      <c r="B737">
        <f>_xlfn.CHISQ.INV.RT(0.05,6)</f>
        <v/>
      </c>
    </row>
    <row r="738">
      <c r="A738" t="inlineStr">
        <is>
          <t>Cramér's V:</t>
        </is>
      </c>
      <c r="B738">
        <f>SQRT(B733/(196*2))</f>
        <v/>
      </c>
    </row>
    <row r="743">
      <c r="A743" s="6" t="inlineStr">
        <is>
          <t>ANALYSIS 25: Education vs Q35 (Family screening)</t>
        </is>
      </c>
    </row>
    <row r="745">
      <c r="A745" s="2" t="inlineStr">
        <is>
          <t>Observed Frequencies</t>
        </is>
      </c>
    </row>
    <row r="746">
      <c r="A746" s="2" t="n"/>
      <c r="B746" s="2" t="inlineStr">
        <is>
          <t>Agree</t>
        </is>
      </c>
      <c r="C746" s="2" t="inlineStr">
        <is>
          <t>Disagree</t>
        </is>
      </c>
      <c r="D746" s="2" t="inlineStr">
        <is>
          <t>Don’t know</t>
        </is>
      </c>
      <c r="E746" s="2" t="inlineStr">
        <is>
          <t>Row Total</t>
        </is>
      </c>
    </row>
    <row r="747">
      <c r="A747" t="inlineStr">
        <is>
          <t>Graduate</t>
        </is>
      </c>
      <c r="B747" t="n">
        <v>35</v>
      </c>
      <c r="C747" t="n">
        <v>1</v>
      </c>
      <c r="D747" t="n">
        <v>0</v>
      </c>
      <c r="E747" t="n">
        <v>36</v>
      </c>
    </row>
    <row r="748">
      <c r="A748" t="inlineStr">
        <is>
          <t>Undergraduate</t>
        </is>
      </c>
      <c r="B748" t="n">
        <v>40</v>
      </c>
      <c r="C748" t="n">
        <v>1</v>
      </c>
      <c r="D748" t="n">
        <v>2</v>
      </c>
      <c r="E748" t="n">
        <v>43</v>
      </c>
    </row>
    <row r="749">
      <c r="A749" t="inlineStr">
        <is>
          <t>Up to A/L</t>
        </is>
      </c>
      <c r="B749" t="n">
        <v>79</v>
      </c>
      <c r="C749" t="n">
        <v>1</v>
      </c>
      <c r="D749" t="n">
        <v>2</v>
      </c>
      <c r="E749" t="n">
        <v>82</v>
      </c>
    </row>
    <row r="750">
      <c r="A750" t="inlineStr">
        <is>
          <t>Up to O/L</t>
        </is>
      </c>
      <c r="B750" t="n">
        <v>35</v>
      </c>
      <c r="C750" t="n">
        <v>1</v>
      </c>
      <c r="D750" t="n">
        <v>1</v>
      </c>
      <c r="E750" t="n">
        <v>37</v>
      </c>
    </row>
    <row r="751">
      <c r="A751" s="2" t="inlineStr">
        <is>
          <t>Column Total</t>
        </is>
      </c>
      <c r="B751" s="2" t="n">
        <v>189</v>
      </c>
      <c r="C751" s="2" t="n">
        <v>4</v>
      </c>
      <c r="D751" s="2" t="n">
        <v>5</v>
      </c>
      <c r="E751" s="2" t="n">
        <v>198</v>
      </c>
    </row>
    <row r="753">
      <c r="A753" s="2" t="inlineStr">
        <is>
          <t>Expected Frequencies</t>
        </is>
      </c>
    </row>
    <row r="754">
      <c r="A754" s="2" t="n"/>
      <c r="B754" s="2" t="inlineStr">
        <is>
          <t>Agree</t>
        </is>
      </c>
      <c r="C754" s="2" t="inlineStr">
        <is>
          <t>Disagree</t>
        </is>
      </c>
      <c r="D754" s="2" t="inlineStr">
        <is>
          <t>Don’t know</t>
        </is>
      </c>
    </row>
    <row r="755">
      <c r="A755" s="2" t="inlineStr">
        <is>
          <t>Graduate</t>
        </is>
      </c>
      <c r="B755">
        <f>(E747*B751)/E751</f>
        <v/>
      </c>
      <c r="C755">
        <f>(E747*C751)/E751</f>
        <v/>
      </c>
      <c r="D755">
        <f>(E747*D751)/E751</f>
        <v/>
      </c>
    </row>
    <row r="756">
      <c r="A756" s="2" t="inlineStr">
        <is>
          <t>Undergraduate</t>
        </is>
      </c>
      <c r="B756">
        <f>(E748*B751)/E751</f>
        <v/>
      </c>
      <c r="C756">
        <f>(E748*C751)/E751</f>
        <v/>
      </c>
      <c r="D756">
        <f>(E748*D751)/E751</f>
        <v/>
      </c>
    </row>
    <row r="757">
      <c r="A757" s="2" t="inlineStr">
        <is>
          <t>Up to A/L</t>
        </is>
      </c>
      <c r="B757">
        <f>(E749*B751)/E751</f>
        <v/>
      </c>
      <c r="C757">
        <f>(E749*C751)/E751</f>
        <v/>
      </c>
      <c r="D757">
        <f>(E749*D751)/E751</f>
        <v/>
      </c>
    </row>
    <row r="758">
      <c r="A758" s="2" t="inlineStr">
        <is>
          <t>Up to O/L</t>
        </is>
      </c>
      <c r="B758">
        <f>(E750*B751)/E751</f>
        <v/>
      </c>
      <c r="C758">
        <f>(E750*C751)/E751</f>
        <v/>
      </c>
      <c r="D758">
        <f>(E750*D751)/E751</f>
        <v/>
      </c>
    </row>
    <row r="761">
      <c r="A761" s="2" t="inlineStr">
        <is>
          <t>Chi-Square Components: (O - E)² / E</t>
        </is>
      </c>
    </row>
    <row r="762">
      <c r="A762" s="2" t="n"/>
      <c r="B762" s="2" t="inlineStr">
        <is>
          <t>Agree</t>
        </is>
      </c>
      <c r="C762" s="2" t="inlineStr">
        <is>
          <t>Disagree</t>
        </is>
      </c>
      <c r="D762" s="2" t="inlineStr">
        <is>
          <t>Don’t know</t>
        </is>
      </c>
    </row>
    <row r="763">
      <c r="A763" t="inlineStr">
        <is>
          <t>Graduate</t>
        </is>
      </c>
      <c r="B763">
        <f>IF(B755&gt;0,POWER(B747-B755,2)/B755,0)</f>
        <v/>
      </c>
      <c r="C763">
        <f>IF(C755&gt;0,POWER(C747-C755,2)/C755,0)</f>
        <v/>
      </c>
      <c r="D763">
        <f>IF(D755&gt;0,POWER(D747-D755,2)/D755,0)</f>
        <v/>
      </c>
    </row>
    <row r="764">
      <c r="A764" t="inlineStr">
        <is>
          <t>Undergraduate</t>
        </is>
      </c>
      <c r="B764">
        <f>IF(B756&gt;0,POWER(B748-B756,2)/B756,0)</f>
        <v/>
      </c>
      <c r="C764">
        <f>IF(C756&gt;0,POWER(C748-C756,2)/C756,0)</f>
        <v/>
      </c>
      <c r="D764">
        <f>IF(D756&gt;0,POWER(D748-D756,2)/D756,0)</f>
        <v/>
      </c>
    </row>
    <row r="765">
      <c r="A765" t="inlineStr">
        <is>
          <t>Up to A/L</t>
        </is>
      </c>
      <c r="B765">
        <f>IF(B757&gt;0,POWER(B749-B757,2)/B757,0)</f>
        <v/>
      </c>
      <c r="C765">
        <f>IF(C757&gt;0,POWER(C749-C757,2)/C757,0)</f>
        <v/>
      </c>
      <c r="D765">
        <f>IF(D757&gt;0,POWER(D749-D757,2)/D757,0)</f>
        <v/>
      </c>
    </row>
    <row r="766">
      <c r="A766" t="inlineStr">
        <is>
          <t>Up to O/L</t>
        </is>
      </c>
      <c r="B766">
        <f>IF(B758&gt;0,POWER(B750-B758,2)/B758,0)</f>
        <v/>
      </c>
      <c r="C766">
        <f>IF(C758&gt;0,POWER(C750-C758,2)/C758,0)</f>
        <v/>
      </c>
      <c r="D766">
        <f>IF(D758&gt;0,POWER(D750-D758,2)/D758,0)</f>
        <v/>
      </c>
    </row>
    <row r="769">
      <c r="A769" s="9" t="inlineStr">
        <is>
          <t>Statistical Results</t>
        </is>
      </c>
    </row>
    <row r="770">
      <c r="A770" t="inlineStr">
        <is>
          <t>Chi-Square (χ²):</t>
        </is>
      </c>
      <c r="B770">
        <f>SUM(B763:D766)</f>
        <v/>
      </c>
    </row>
    <row r="771">
      <c r="A771" t="inlineStr">
        <is>
          <t>Degrees of Freedom:</t>
        </is>
      </c>
      <c r="B771" t="n">
        <v>6</v>
      </c>
    </row>
    <row r="772">
      <c r="A772" t="inlineStr">
        <is>
          <t>P-value:</t>
        </is>
      </c>
      <c r="B772">
        <f>_xlfn.CHISQ.DIST.RT(B770,6)</f>
        <v/>
      </c>
    </row>
    <row r="773">
      <c r="A773" t="inlineStr">
        <is>
          <t>Significant (p&lt;0.05)?</t>
        </is>
      </c>
      <c r="B773">
        <f>IF(B772&lt;0.05,"YES ✓","NO")</f>
        <v/>
      </c>
    </row>
    <row r="774">
      <c r="A774" t="inlineStr">
        <is>
          <t>Critical Value (α=0.05):</t>
        </is>
      </c>
      <c r="B774">
        <f>_xlfn.CHISQ.INV.RT(0.05,6)</f>
        <v/>
      </c>
    </row>
    <row r="775">
      <c r="A775" t="inlineStr">
        <is>
          <t>Cramér's V:</t>
        </is>
      </c>
      <c r="B775">
        <f>SQRT(B770/(198*2))</f>
        <v/>
      </c>
    </row>
    <row r="778">
      <c r="A778" s="6" t="inlineStr">
        <is>
          <t>ANALYSIS 26: Education vs Q36 (Status disclosure)</t>
        </is>
      </c>
    </row>
    <row r="780">
      <c r="A780" s="2" t="inlineStr">
        <is>
          <t>Observed Frequencies</t>
        </is>
      </c>
    </row>
    <row r="781">
      <c r="A781" s="2" t="n"/>
      <c r="B781" s="2" t="inlineStr">
        <is>
          <t>No</t>
        </is>
      </c>
      <c r="C781" s="2" t="inlineStr">
        <is>
          <t>Yes</t>
        </is>
      </c>
      <c r="D781" s="2" t="inlineStr">
        <is>
          <t>Row Total</t>
        </is>
      </c>
    </row>
    <row r="782">
      <c r="A782" t="inlineStr">
        <is>
          <t>Graduate</t>
        </is>
      </c>
      <c r="B782" t="n">
        <v>6</v>
      </c>
      <c r="C782" t="n">
        <v>30</v>
      </c>
      <c r="D782" t="n">
        <v>36</v>
      </c>
    </row>
    <row r="783">
      <c r="A783" t="inlineStr">
        <is>
          <t>Undergraduate</t>
        </is>
      </c>
      <c r="B783" t="n">
        <v>2</v>
      </c>
      <c r="C783" t="n">
        <v>40</v>
      </c>
      <c r="D783" t="n">
        <v>42</v>
      </c>
    </row>
    <row r="784">
      <c r="A784" t="inlineStr">
        <is>
          <t>Up to A/L</t>
        </is>
      </c>
      <c r="B784" t="n">
        <v>4</v>
      </c>
      <c r="C784" t="n">
        <v>76</v>
      </c>
      <c r="D784" t="n">
        <v>80</v>
      </c>
    </row>
    <row r="785">
      <c r="A785" t="inlineStr">
        <is>
          <t>Up to O/L</t>
        </is>
      </c>
      <c r="B785" t="n">
        <v>3</v>
      </c>
      <c r="C785" t="n">
        <v>34</v>
      </c>
      <c r="D785" t="n">
        <v>37</v>
      </c>
    </row>
    <row r="786">
      <c r="A786" s="2" t="inlineStr">
        <is>
          <t>Column Total</t>
        </is>
      </c>
      <c r="B786" s="2" t="n">
        <v>15</v>
      </c>
      <c r="C786" s="2" t="n">
        <v>180</v>
      </c>
      <c r="D786" s="2" t="n">
        <v>195</v>
      </c>
    </row>
    <row r="788">
      <c r="A788" s="2" t="inlineStr">
        <is>
          <t>Expected Frequencies</t>
        </is>
      </c>
    </row>
    <row r="789">
      <c r="A789" s="2" t="n"/>
      <c r="B789" s="2" t="inlineStr">
        <is>
          <t>No</t>
        </is>
      </c>
      <c r="C789" s="2" t="inlineStr">
        <is>
          <t>Yes</t>
        </is>
      </c>
    </row>
    <row r="790">
      <c r="A790" s="2" t="inlineStr">
        <is>
          <t>Graduate</t>
        </is>
      </c>
      <c r="B790">
        <f>(D782*B786)/D786</f>
        <v/>
      </c>
      <c r="C790">
        <f>(D782*C786)/D786</f>
        <v/>
      </c>
    </row>
    <row r="791">
      <c r="A791" s="2" t="inlineStr">
        <is>
          <t>Undergraduate</t>
        </is>
      </c>
      <c r="B791">
        <f>(D783*B786)/D786</f>
        <v/>
      </c>
      <c r="C791">
        <f>(D783*C786)/D786</f>
        <v/>
      </c>
    </row>
    <row r="792">
      <c r="A792" s="2" t="inlineStr">
        <is>
          <t>Up to A/L</t>
        </is>
      </c>
      <c r="B792">
        <f>(D784*B786)/D786</f>
        <v/>
      </c>
      <c r="C792">
        <f>(D784*C786)/D786</f>
        <v/>
      </c>
    </row>
    <row r="793">
      <c r="A793" s="2" t="inlineStr">
        <is>
          <t>Up to O/L</t>
        </is>
      </c>
      <c r="B793">
        <f>(D785*B786)/D786</f>
        <v/>
      </c>
      <c r="C793">
        <f>(D785*C786)/D786</f>
        <v/>
      </c>
    </row>
    <row r="796">
      <c r="A796" s="2" t="inlineStr">
        <is>
          <t>Chi-Square Components: (O - E)² / E</t>
        </is>
      </c>
    </row>
    <row r="797">
      <c r="A797" s="2" t="n"/>
      <c r="B797" s="2" t="inlineStr">
        <is>
          <t>No</t>
        </is>
      </c>
      <c r="C797" s="2" t="inlineStr">
        <is>
          <t>Yes</t>
        </is>
      </c>
    </row>
    <row r="798">
      <c r="A798" t="inlineStr">
        <is>
          <t>Graduate</t>
        </is>
      </c>
      <c r="B798">
        <f>IF(B790&gt;0,POWER(B782-B790,2)/B790,0)</f>
        <v/>
      </c>
      <c r="C798">
        <f>IF(C790&gt;0,POWER(C782-C790,2)/C790,0)</f>
        <v/>
      </c>
    </row>
    <row r="799">
      <c r="A799" t="inlineStr">
        <is>
          <t>Undergraduate</t>
        </is>
      </c>
      <c r="B799">
        <f>IF(B791&gt;0,POWER(B783-B791,2)/B791,0)</f>
        <v/>
      </c>
      <c r="C799">
        <f>IF(C791&gt;0,POWER(C783-C791,2)/C791,0)</f>
        <v/>
      </c>
    </row>
    <row r="800">
      <c r="A800" t="inlineStr">
        <is>
          <t>Up to A/L</t>
        </is>
      </c>
      <c r="B800">
        <f>IF(B792&gt;0,POWER(B784-B792,2)/B792,0)</f>
        <v/>
      </c>
      <c r="C800">
        <f>IF(C792&gt;0,POWER(C784-C792,2)/C792,0)</f>
        <v/>
      </c>
    </row>
    <row r="801">
      <c r="A801" t="inlineStr">
        <is>
          <t>Up to O/L</t>
        </is>
      </c>
      <c r="B801">
        <f>IF(B793&gt;0,POWER(B785-B793,2)/B793,0)</f>
        <v/>
      </c>
      <c r="C801">
        <f>IF(C793&gt;0,POWER(C785-C793,2)/C793,0)</f>
        <v/>
      </c>
    </row>
    <row r="804">
      <c r="A804" s="9" t="inlineStr">
        <is>
          <t>Statistical Results</t>
        </is>
      </c>
    </row>
    <row r="805">
      <c r="A805" t="inlineStr">
        <is>
          <t>Chi-Square (χ²):</t>
        </is>
      </c>
      <c r="B805">
        <f>SUM(B798:C801)</f>
        <v/>
      </c>
    </row>
    <row r="806">
      <c r="A806" t="inlineStr">
        <is>
          <t>Degrees of Freedom:</t>
        </is>
      </c>
      <c r="B806" t="n">
        <v>3</v>
      </c>
    </row>
    <row r="807">
      <c r="A807" t="inlineStr">
        <is>
          <t>P-value:</t>
        </is>
      </c>
      <c r="B807">
        <f>_xlfn.CHISQ.DIST.RT(B805,3)</f>
        <v/>
      </c>
    </row>
    <row r="808">
      <c r="A808" t="inlineStr">
        <is>
          <t>Significant (p&lt;0.05)?</t>
        </is>
      </c>
      <c r="B808">
        <f>IF(B807&lt;0.05,"YES ✓","NO")</f>
        <v/>
      </c>
    </row>
    <row r="809">
      <c r="A809" t="inlineStr">
        <is>
          <t>Critical Value (α=0.05):</t>
        </is>
      </c>
      <c r="B809">
        <f>_xlfn.CHISQ.INV.RT(0.05,3)</f>
        <v/>
      </c>
    </row>
    <row r="810">
      <c r="A810" t="inlineStr">
        <is>
          <t>Cramér's V:</t>
        </is>
      </c>
      <c r="B810">
        <f>SQRT(B805/(195*1))</f>
        <v/>
      </c>
    </row>
    <row r="813">
      <c r="A813" s="6" t="inlineStr">
        <is>
          <t>ANALYSIS 27: Marital Status vs Q30 (Consanguineous)</t>
        </is>
      </c>
    </row>
    <row r="815">
      <c r="A815" s="2" t="inlineStr">
        <is>
          <t>Observed Frequencies</t>
        </is>
      </c>
    </row>
    <row r="816">
      <c r="A816" s="2" t="n"/>
      <c r="B816" s="2" t="inlineStr">
        <is>
          <t>Definitely not</t>
        </is>
      </c>
      <c r="C816" s="2" t="inlineStr">
        <is>
          <t>Not sure</t>
        </is>
      </c>
      <c r="D816" s="2" t="inlineStr">
        <is>
          <t>Yes I am willing</t>
        </is>
      </c>
      <c r="E816" s="2" t="inlineStr">
        <is>
          <t>Yes I have</t>
        </is>
      </c>
      <c r="F816" s="2" t="inlineStr">
        <is>
          <t>Row Total</t>
        </is>
      </c>
    </row>
    <row r="817">
      <c r="A817" t="inlineStr">
        <is>
          <t>Married</t>
        </is>
      </c>
      <c r="B817" t="n">
        <v>52</v>
      </c>
      <c r="C817" t="n">
        <v>14</v>
      </c>
      <c r="D817" t="n">
        <v>1</v>
      </c>
      <c r="E817" t="n">
        <v>2</v>
      </c>
      <c r="F817" t="n">
        <v>69</v>
      </c>
    </row>
    <row r="818">
      <c r="A818" t="inlineStr">
        <is>
          <t>Single</t>
        </is>
      </c>
      <c r="B818" t="n">
        <v>108</v>
      </c>
      <c r="C818" t="n">
        <v>21</v>
      </c>
      <c r="D818" t="n">
        <v>2</v>
      </c>
      <c r="E818" t="n">
        <v>0</v>
      </c>
      <c r="F818" t="n">
        <v>131</v>
      </c>
    </row>
    <row r="819">
      <c r="A819" s="2" t="inlineStr">
        <is>
          <t>Column Total</t>
        </is>
      </c>
      <c r="B819" s="2" t="n">
        <v>160</v>
      </c>
      <c r="C819" s="2" t="n">
        <v>35</v>
      </c>
      <c r="D819" s="2" t="n">
        <v>3</v>
      </c>
      <c r="E819" s="2" t="n">
        <v>2</v>
      </c>
      <c r="F819" s="2" t="n">
        <v>200</v>
      </c>
    </row>
    <row r="821">
      <c r="A821" s="2" t="inlineStr">
        <is>
          <t>Expected Frequencies</t>
        </is>
      </c>
    </row>
    <row r="822">
      <c r="A822" s="2" t="n"/>
      <c r="B822" s="2" t="inlineStr">
        <is>
          <t>Definitely not</t>
        </is>
      </c>
      <c r="C822" s="2" t="inlineStr">
        <is>
          <t>Not sure</t>
        </is>
      </c>
      <c r="D822" s="2" t="inlineStr">
        <is>
          <t>Yes I am willing</t>
        </is>
      </c>
      <c r="E822" s="2" t="inlineStr">
        <is>
          <t>Yes I have</t>
        </is>
      </c>
    </row>
    <row r="823">
      <c r="A823" s="2" t="inlineStr">
        <is>
          <t>Married</t>
        </is>
      </c>
      <c r="B823">
        <f>(F817*B819)/F819</f>
        <v/>
      </c>
      <c r="C823">
        <f>(F817*C819)/F819</f>
        <v/>
      </c>
      <c r="D823">
        <f>(F817*D819)/F819</f>
        <v/>
      </c>
      <c r="E823">
        <f>(F817*E819)/F819</f>
        <v/>
      </c>
    </row>
    <row r="824">
      <c r="A824" s="2" t="inlineStr">
        <is>
          <t>Single</t>
        </is>
      </c>
      <c r="B824">
        <f>(F818*B819)/F819</f>
        <v/>
      </c>
      <c r="C824">
        <f>(F818*C819)/F819</f>
        <v/>
      </c>
      <c r="D824">
        <f>(F818*D819)/F819</f>
        <v/>
      </c>
      <c r="E824">
        <f>(F818*E819)/F819</f>
        <v/>
      </c>
    </row>
    <row r="827">
      <c r="A827" s="2" t="inlineStr">
        <is>
          <t>Chi-Square Components: (O - E)² / E</t>
        </is>
      </c>
    </row>
    <row r="828">
      <c r="A828" s="2" t="n"/>
      <c r="B828" s="2" t="inlineStr">
        <is>
          <t>Definitely not</t>
        </is>
      </c>
      <c r="C828" s="2" t="inlineStr">
        <is>
          <t>Not sure</t>
        </is>
      </c>
      <c r="D828" s="2" t="inlineStr">
        <is>
          <t>Yes I am willing</t>
        </is>
      </c>
      <c r="E828" s="2" t="inlineStr">
        <is>
          <t>Yes I have</t>
        </is>
      </c>
    </row>
    <row r="829">
      <c r="A829" t="inlineStr">
        <is>
          <t>Married</t>
        </is>
      </c>
      <c r="B829">
        <f>IF(B823&gt;0,POWER(B817-B823,2)/B823,0)</f>
        <v/>
      </c>
      <c r="C829">
        <f>IF(C823&gt;0,POWER(C817-C823,2)/C823,0)</f>
        <v/>
      </c>
      <c r="D829">
        <f>IF(D823&gt;0,POWER(D817-D823,2)/D823,0)</f>
        <v/>
      </c>
      <c r="E829">
        <f>IF(E823&gt;0,POWER(E817-E823,2)/E823,0)</f>
        <v/>
      </c>
    </row>
    <row r="830">
      <c r="A830" t="inlineStr">
        <is>
          <t>Single</t>
        </is>
      </c>
      <c r="B830">
        <f>IF(B824&gt;0,POWER(B818-B824,2)/B824,0)</f>
        <v/>
      </c>
      <c r="C830">
        <f>IF(C824&gt;0,POWER(C818-C824,2)/C824,0)</f>
        <v/>
      </c>
      <c r="D830">
        <f>IF(D824&gt;0,POWER(D818-D824,2)/D824,0)</f>
        <v/>
      </c>
      <c r="E830">
        <f>IF(E824&gt;0,POWER(E818-E824,2)/E824,0)</f>
        <v/>
      </c>
    </row>
    <row r="833">
      <c r="A833" s="9" t="inlineStr">
        <is>
          <t>Statistical Results</t>
        </is>
      </c>
    </row>
    <row r="834">
      <c r="A834" t="inlineStr">
        <is>
          <t>Chi-Square (χ²):</t>
        </is>
      </c>
      <c r="B834">
        <f>SUM(B829:E830)</f>
        <v/>
      </c>
    </row>
    <row r="835">
      <c r="A835" t="inlineStr">
        <is>
          <t>Degrees of Freedom:</t>
        </is>
      </c>
      <c r="B835" t="n">
        <v>3</v>
      </c>
    </row>
    <row r="836">
      <c r="A836" t="inlineStr">
        <is>
          <t>P-value:</t>
        </is>
      </c>
      <c r="B836">
        <f>_xlfn.CHISQ.DIST.RT(B834,3)</f>
        <v/>
      </c>
    </row>
    <row r="837">
      <c r="A837" t="inlineStr">
        <is>
          <t>Significant (p&lt;0.05)?</t>
        </is>
      </c>
      <c r="B837">
        <f>IF(B836&lt;0.05,"YES ✓","NO")</f>
        <v/>
      </c>
    </row>
    <row r="838">
      <c r="A838" t="inlineStr">
        <is>
          <t>Critical Value (α=0.05):</t>
        </is>
      </c>
      <c r="B838">
        <f>_xlfn.CHISQ.INV.RT(0.05,3)</f>
        <v/>
      </c>
    </row>
    <row r="839">
      <c r="A839" t="inlineStr">
        <is>
          <t>Cramér's V:</t>
        </is>
      </c>
      <c r="B839">
        <f>SQRT(B834/(200*1))</f>
        <v/>
      </c>
    </row>
    <row r="842">
      <c r="A842" s="6" t="inlineStr">
        <is>
          <t>ANALYSIS 28: Marital Status vs Q31 (Carrier marriage)</t>
        </is>
      </c>
    </row>
    <row r="844">
      <c r="A844" s="2" t="inlineStr">
        <is>
          <t>Observed Frequencies</t>
        </is>
      </c>
    </row>
    <row r="845">
      <c r="A845" s="2" t="n"/>
      <c r="B845" s="2" t="inlineStr">
        <is>
          <t>No</t>
        </is>
      </c>
      <c r="C845" s="2" t="inlineStr">
        <is>
          <t>Not sure</t>
        </is>
      </c>
      <c r="D845" s="2" t="inlineStr">
        <is>
          <t>Yes</t>
        </is>
      </c>
      <c r="E845" s="2" t="inlineStr">
        <is>
          <t>Row Total</t>
        </is>
      </c>
    </row>
    <row r="846">
      <c r="A846" t="inlineStr">
        <is>
          <t>Married</t>
        </is>
      </c>
      <c r="B846" t="n">
        <v>54</v>
      </c>
      <c r="C846" t="n">
        <v>9</v>
      </c>
      <c r="D846" t="n">
        <v>6</v>
      </c>
      <c r="E846" t="n">
        <v>69</v>
      </c>
    </row>
    <row r="847">
      <c r="A847" t="inlineStr">
        <is>
          <t>Single</t>
        </is>
      </c>
      <c r="B847" t="n">
        <v>101</v>
      </c>
      <c r="C847" t="n">
        <v>24</v>
      </c>
      <c r="D847" t="n">
        <v>4</v>
      </c>
      <c r="E847" t="n">
        <v>129</v>
      </c>
    </row>
    <row r="848">
      <c r="A848" s="2" t="inlineStr">
        <is>
          <t>Column Total</t>
        </is>
      </c>
      <c r="B848" s="2" t="n">
        <v>155</v>
      </c>
      <c r="C848" s="2" t="n">
        <v>33</v>
      </c>
      <c r="D848" s="2" t="n">
        <v>10</v>
      </c>
      <c r="E848" s="2" t="n">
        <v>198</v>
      </c>
    </row>
    <row r="850">
      <c r="A850" s="2" t="inlineStr">
        <is>
          <t>Expected Frequencies</t>
        </is>
      </c>
    </row>
    <row r="851">
      <c r="A851" s="2" t="n"/>
      <c r="B851" s="2" t="inlineStr">
        <is>
          <t>No</t>
        </is>
      </c>
      <c r="C851" s="2" t="inlineStr">
        <is>
          <t>Not sure</t>
        </is>
      </c>
      <c r="D851" s="2" t="inlineStr">
        <is>
          <t>Yes</t>
        </is>
      </c>
    </row>
    <row r="852">
      <c r="A852" s="2" t="inlineStr">
        <is>
          <t>Married</t>
        </is>
      </c>
      <c r="B852">
        <f>(E846*B848)/E848</f>
        <v/>
      </c>
      <c r="C852">
        <f>(E846*C848)/E848</f>
        <v/>
      </c>
      <c r="D852">
        <f>(E846*D848)/E848</f>
        <v/>
      </c>
    </row>
    <row r="853">
      <c r="A853" s="2" t="inlineStr">
        <is>
          <t>Single</t>
        </is>
      </c>
      <c r="B853">
        <f>(E847*B848)/E848</f>
        <v/>
      </c>
      <c r="C853">
        <f>(E847*C848)/E848</f>
        <v/>
      </c>
      <c r="D853">
        <f>(E847*D848)/E848</f>
        <v/>
      </c>
    </row>
    <row r="856">
      <c r="A856" s="2" t="inlineStr">
        <is>
          <t>Chi-Square Components: (O - E)² / E</t>
        </is>
      </c>
    </row>
    <row r="857">
      <c r="A857" s="2" t="n"/>
      <c r="B857" s="2" t="inlineStr">
        <is>
          <t>No</t>
        </is>
      </c>
      <c r="C857" s="2" t="inlineStr">
        <is>
          <t>Not sure</t>
        </is>
      </c>
      <c r="D857" s="2" t="inlineStr">
        <is>
          <t>Yes</t>
        </is>
      </c>
    </row>
    <row r="858">
      <c r="A858" t="inlineStr">
        <is>
          <t>Married</t>
        </is>
      </c>
      <c r="B858">
        <f>IF(B852&gt;0,POWER(B846-B852,2)/B852,0)</f>
        <v/>
      </c>
      <c r="C858">
        <f>IF(C852&gt;0,POWER(C846-C852,2)/C852,0)</f>
        <v/>
      </c>
      <c r="D858">
        <f>IF(D852&gt;0,POWER(D846-D852,2)/D852,0)</f>
        <v/>
      </c>
    </row>
    <row r="859">
      <c r="A859" t="inlineStr">
        <is>
          <t>Single</t>
        </is>
      </c>
      <c r="B859">
        <f>IF(B853&gt;0,POWER(B847-B853,2)/B853,0)</f>
        <v/>
      </c>
      <c r="C859">
        <f>IF(C853&gt;0,POWER(C847-C853,2)/C853,0)</f>
        <v/>
      </c>
      <c r="D859">
        <f>IF(D853&gt;0,POWER(D847-D853,2)/D853,0)</f>
        <v/>
      </c>
    </row>
    <row r="862">
      <c r="A862" s="9" t="inlineStr">
        <is>
          <t>Statistical Results</t>
        </is>
      </c>
    </row>
    <row r="863">
      <c r="A863" t="inlineStr">
        <is>
          <t>Chi-Square (χ²):</t>
        </is>
      </c>
      <c r="B863">
        <f>SUM(B858:D859)</f>
        <v/>
      </c>
    </row>
    <row r="864">
      <c r="A864" t="inlineStr">
        <is>
          <t>Degrees of Freedom:</t>
        </is>
      </c>
      <c r="B864" t="n">
        <v>2</v>
      </c>
    </row>
    <row r="865">
      <c r="A865" t="inlineStr">
        <is>
          <t>P-value:</t>
        </is>
      </c>
      <c r="B865">
        <f>_xlfn.CHISQ.DIST.RT(B863,2)</f>
        <v/>
      </c>
    </row>
    <row r="866">
      <c r="A866" t="inlineStr">
        <is>
          <t>Significant (p&lt;0.05)?</t>
        </is>
      </c>
      <c r="B866">
        <f>IF(B865&lt;0.05,"YES ✓","NO")</f>
        <v/>
      </c>
    </row>
    <row r="867">
      <c r="A867" t="inlineStr">
        <is>
          <t>Critical Value (α=0.05):</t>
        </is>
      </c>
      <c r="B867">
        <f>_xlfn.CHISQ.INV.RT(0.05,2)</f>
        <v/>
      </c>
    </row>
    <row r="868">
      <c r="A868" t="inlineStr">
        <is>
          <t>Cramér's V:</t>
        </is>
      </c>
      <c r="B868">
        <f>SQRT(B863/(198*1))</f>
        <v/>
      </c>
    </row>
    <row r="871">
      <c r="A871" s="6" t="inlineStr">
        <is>
          <t>ANALYSIS 29: Marital Status vs Q35 (Family screening)</t>
        </is>
      </c>
    </row>
    <row r="873">
      <c r="A873" s="2" t="inlineStr">
        <is>
          <t>Observed Frequencies</t>
        </is>
      </c>
    </row>
    <row r="874">
      <c r="A874" s="2" t="n"/>
      <c r="B874" s="2" t="inlineStr">
        <is>
          <t>Agree</t>
        </is>
      </c>
      <c r="C874" s="2" t="inlineStr">
        <is>
          <t>Disagree</t>
        </is>
      </c>
      <c r="D874" s="2" t="inlineStr">
        <is>
          <t>Don’t know</t>
        </is>
      </c>
      <c r="E874" s="2" t="inlineStr">
        <is>
          <t>Row Total</t>
        </is>
      </c>
    </row>
    <row r="875">
      <c r="A875" t="inlineStr">
        <is>
          <t>Married</t>
        </is>
      </c>
      <c r="B875" t="n">
        <v>65</v>
      </c>
      <c r="C875" t="n">
        <v>1</v>
      </c>
      <c r="D875" t="n">
        <v>3</v>
      </c>
      <c r="E875" t="n">
        <v>69</v>
      </c>
    </row>
    <row r="876">
      <c r="A876" t="inlineStr">
        <is>
          <t>Single</t>
        </is>
      </c>
      <c r="B876" t="n">
        <v>126</v>
      </c>
      <c r="C876" t="n">
        <v>3</v>
      </c>
      <c r="D876" t="n">
        <v>2</v>
      </c>
      <c r="E876" t="n">
        <v>131</v>
      </c>
    </row>
    <row r="877">
      <c r="A877" s="2" t="inlineStr">
        <is>
          <t>Column Total</t>
        </is>
      </c>
      <c r="B877" s="2" t="n">
        <v>191</v>
      </c>
      <c r="C877" s="2" t="n">
        <v>4</v>
      </c>
      <c r="D877" s="2" t="n">
        <v>5</v>
      </c>
      <c r="E877" s="2" t="n">
        <v>200</v>
      </c>
    </row>
    <row r="879">
      <c r="A879" s="2" t="inlineStr">
        <is>
          <t>Expected Frequencies</t>
        </is>
      </c>
    </row>
    <row r="880">
      <c r="A880" s="2" t="n"/>
      <c r="B880" s="2" t="inlineStr">
        <is>
          <t>Agree</t>
        </is>
      </c>
      <c r="C880" s="2" t="inlineStr">
        <is>
          <t>Disagree</t>
        </is>
      </c>
      <c r="D880" s="2" t="inlineStr">
        <is>
          <t>Don’t know</t>
        </is>
      </c>
    </row>
    <row r="881">
      <c r="A881" s="2" t="inlineStr">
        <is>
          <t>Married</t>
        </is>
      </c>
      <c r="B881">
        <f>(E875*B877)/E877</f>
        <v/>
      </c>
      <c r="C881">
        <f>(E875*C877)/E877</f>
        <v/>
      </c>
      <c r="D881">
        <f>(E875*D877)/E877</f>
        <v/>
      </c>
    </row>
    <row r="882">
      <c r="A882" s="2" t="inlineStr">
        <is>
          <t>Single</t>
        </is>
      </c>
      <c r="B882">
        <f>(E876*B877)/E877</f>
        <v/>
      </c>
      <c r="C882">
        <f>(E876*C877)/E877</f>
        <v/>
      </c>
      <c r="D882">
        <f>(E876*D877)/E877</f>
        <v/>
      </c>
    </row>
    <row r="885">
      <c r="A885" s="2" t="inlineStr">
        <is>
          <t>Chi-Square Components: (O - E)² / E</t>
        </is>
      </c>
    </row>
    <row r="886">
      <c r="A886" s="2" t="n"/>
      <c r="B886" s="2" t="inlineStr">
        <is>
          <t>Agree</t>
        </is>
      </c>
      <c r="C886" s="2" t="inlineStr">
        <is>
          <t>Disagree</t>
        </is>
      </c>
      <c r="D886" s="2" t="inlineStr">
        <is>
          <t>Don’t know</t>
        </is>
      </c>
    </row>
    <row r="887">
      <c r="A887" t="inlineStr">
        <is>
          <t>Married</t>
        </is>
      </c>
      <c r="B887">
        <f>IF(B881&gt;0,POWER(B875-B881,2)/B881,0)</f>
        <v/>
      </c>
      <c r="C887">
        <f>IF(C881&gt;0,POWER(C875-C881,2)/C881,0)</f>
        <v/>
      </c>
      <c r="D887">
        <f>IF(D881&gt;0,POWER(D875-D881,2)/D881,0)</f>
        <v/>
      </c>
    </row>
    <row r="888">
      <c r="A888" t="inlineStr">
        <is>
          <t>Single</t>
        </is>
      </c>
      <c r="B888">
        <f>IF(B882&gt;0,POWER(B876-B882,2)/B882,0)</f>
        <v/>
      </c>
      <c r="C888">
        <f>IF(C882&gt;0,POWER(C876-C882,2)/C882,0)</f>
        <v/>
      </c>
      <c r="D888">
        <f>IF(D882&gt;0,POWER(D876-D882,2)/D882,0)</f>
        <v/>
      </c>
    </row>
    <row r="891">
      <c r="A891" s="9" t="inlineStr">
        <is>
          <t>Statistical Results</t>
        </is>
      </c>
    </row>
    <row r="892">
      <c r="A892" t="inlineStr">
        <is>
          <t>Chi-Square (χ²):</t>
        </is>
      </c>
      <c r="B892">
        <f>SUM(B887:D888)</f>
        <v/>
      </c>
    </row>
    <row r="893">
      <c r="A893" t="inlineStr">
        <is>
          <t>Degrees of Freedom:</t>
        </is>
      </c>
      <c r="B893" t="n">
        <v>2</v>
      </c>
    </row>
    <row r="894">
      <c r="A894" t="inlineStr">
        <is>
          <t>P-value:</t>
        </is>
      </c>
      <c r="B894">
        <f>_xlfn.CHISQ.DIST.RT(B892,2)</f>
        <v/>
      </c>
    </row>
    <row r="895">
      <c r="A895" t="inlineStr">
        <is>
          <t>Significant (p&lt;0.05)?</t>
        </is>
      </c>
      <c r="B895">
        <f>IF(B894&lt;0.05,"YES ✓","NO")</f>
        <v/>
      </c>
    </row>
    <row r="896">
      <c r="A896" t="inlineStr">
        <is>
          <t>Critical Value (α=0.05):</t>
        </is>
      </c>
      <c r="B896">
        <f>_xlfn.CHISQ.INV.RT(0.05,2)</f>
        <v/>
      </c>
    </row>
    <row r="897">
      <c r="A897" t="inlineStr">
        <is>
          <t>Cramér's V:</t>
        </is>
      </c>
      <c r="B897">
        <f>SQRT(B892/(200*1))</f>
        <v/>
      </c>
    </row>
    <row r="900">
      <c r="A900" s="6" t="inlineStr">
        <is>
          <t>ANALYSIS 30: Marital Status vs Q36 (Status disclosure)</t>
        </is>
      </c>
    </row>
    <row r="902">
      <c r="A902" s="2" t="inlineStr">
        <is>
          <t>Observed Frequencies</t>
        </is>
      </c>
    </row>
    <row r="903">
      <c r="A903" s="2" t="n"/>
      <c r="B903" s="2" t="inlineStr">
        <is>
          <t>No</t>
        </is>
      </c>
      <c r="C903" s="2" t="inlineStr">
        <is>
          <t>Yes</t>
        </is>
      </c>
      <c r="D903" s="2" t="inlineStr">
        <is>
          <t>Row Total</t>
        </is>
      </c>
    </row>
    <row r="904">
      <c r="A904" t="inlineStr">
        <is>
          <t>Married</t>
        </is>
      </c>
      <c r="B904" t="n">
        <v>6</v>
      </c>
      <c r="C904" t="n">
        <v>62</v>
      </c>
      <c r="D904" t="n">
        <v>68</v>
      </c>
    </row>
    <row r="905">
      <c r="A905" t="inlineStr">
        <is>
          <t>Single</t>
        </is>
      </c>
      <c r="B905" t="n">
        <v>9</v>
      </c>
      <c r="C905" t="n">
        <v>120</v>
      </c>
      <c r="D905" t="n">
        <v>129</v>
      </c>
    </row>
    <row r="906">
      <c r="A906" s="2" t="inlineStr">
        <is>
          <t>Column Total</t>
        </is>
      </c>
      <c r="B906" s="2" t="n">
        <v>15</v>
      </c>
      <c r="C906" s="2" t="n">
        <v>182</v>
      </c>
      <c r="D906" s="2" t="n">
        <v>197</v>
      </c>
    </row>
    <row r="908">
      <c r="A908" s="2" t="inlineStr">
        <is>
          <t>Expected Frequencies</t>
        </is>
      </c>
    </row>
    <row r="909">
      <c r="A909" s="2" t="n"/>
      <c r="B909" s="2" t="inlineStr">
        <is>
          <t>No</t>
        </is>
      </c>
      <c r="C909" s="2" t="inlineStr">
        <is>
          <t>Yes</t>
        </is>
      </c>
    </row>
    <row r="910">
      <c r="A910" s="2" t="inlineStr">
        <is>
          <t>Married</t>
        </is>
      </c>
      <c r="B910">
        <f>(D904*B906)/D906</f>
        <v/>
      </c>
      <c r="C910">
        <f>(D904*C906)/D906</f>
        <v/>
      </c>
    </row>
    <row r="911">
      <c r="A911" s="2" t="inlineStr">
        <is>
          <t>Single</t>
        </is>
      </c>
      <c r="B911">
        <f>(D905*B906)/D906</f>
        <v/>
      </c>
      <c r="C911">
        <f>(D905*C906)/D906</f>
        <v/>
      </c>
    </row>
    <row r="914">
      <c r="A914" s="2" t="inlineStr">
        <is>
          <t>Chi-Square Components: (O - E)² / E</t>
        </is>
      </c>
    </row>
    <row r="915">
      <c r="A915" s="2" t="n"/>
      <c r="B915" s="2" t="inlineStr">
        <is>
          <t>No</t>
        </is>
      </c>
      <c r="C915" s="2" t="inlineStr">
        <is>
          <t>Yes</t>
        </is>
      </c>
    </row>
    <row r="916">
      <c r="A916" t="inlineStr">
        <is>
          <t>Married</t>
        </is>
      </c>
      <c r="B916">
        <f>IF(B910&gt;0,POWER(B904-B910,2)/B910,0)</f>
        <v/>
      </c>
      <c r="C916">
        <f>IF(C910&gt;0,POWER(C904-C910,2)/C910,0)</f>
        <v/>
      </c>
    </row>
    <row r="917">
      <c r="A917" t="inlineStr">
        <is>
          <t>Single</t>
        </is>
      </c>
      <c r="B917">
        <f>IF(B911&gt;0,POWER(B905-B911,2)/B911,0)</f>
        <v/>
      </c>
      <c r="C917">
        <f>IF(C911&gt;0,POWER(C905-C911,2)/C911,0)</f>
        <v/>
      </c>
    </row>
    <row r="920">
      <c r="A920" s="9" t="inlineStr">
        <is>
          <t>Statistical Results</t>
        </is>
      </c>
    </row>
    <row r="921">
      <c r="A921" t="inlineStr">
        <is>
          <t>Chi-Square (χ²):</t>
        </is>
      </c>
      <c r="B921">
        <f>SUM(B916:C917)</f>
        <v/>
      </c>
    </row>
    <row r="922">
      <c r="A922" t="inlineStr">
        <is>
          <t>Degrees of Freedom:</t>
        </is>
      </c>
      <c r="B922" t="n">
        <v>1</v>
      </c>
    </row>
    <row r="923">
      <c r="A923" t="inlineStr">
        <is>
          <t>P-value:</t>
        </is>
      </c>
      <c r="B923">
        <f>_xlfn.CHISQ.DIST.RT(B921,1)</f>
        <v/>
      </c>
    </row>
    <row r="924">
      <c r="A924" t="inlineStr">
        <is>
          <t>Significant (p&lt;0.05)?</t>
        </is>
      </c>
      <c r="B924">
        <f>IF(B923&lt;0.05,"YES ✓","NO")</f>
        <v/>
      </c>
    </row>
    <row r="925">
      <c r="A925" t="inlineStr">
        <is>
          <t>Critical Value (α=0.05):</t>
        </is>
      </c>
      <c r="B925">
        <f>_xlfn.CHISQ.INV.RT(0.05,1)</f>
        <v/>
      </c>
    </row>
    <row r="926">
      <c r="A926" t="inlineStr">
        <is>
          <t>Cramér's V:</t>
        </is>
      </c>
      <c r="B926">
        <f>SQRT(B921/(197*1))</f>
        <v/>
      </c>
    </row>
    <row r="929">
      <c r="A929" s="6" t="inlineStr">
        <is>
          <t>ANALYSIS 31: Family History vs Q30 (Consanguineous)</t>
        </is>
      </c>
    </row>
    <row r="931">
      <c r="A931" s="2" t="inlineStr">
        <is>
          <t>Observed Frequencies</t>
        </is>
      </c>
    </row>
    <row r="932">
      <c r="A932" s="2" t="n"/>
      <c r="B932" s="2" t="inlineStr">
        <is>
          <t>Definitely not</t>
        </is>
      </c>
      <c r="C932" s="2" t="inlineStr">
        <is>
          <t>Not sure</t>
        </is>
      </c>
      <c r="D932" s="2" t="inlineStr">
        <is>
          <t>Yes I am willing</t>
        </is>
      </c>
      <c r="E932" s="2" t="inlineStr">
        <is>
          <t>Yes I have</t>
        </is>
      </c>
      <c r="F932" s="2" t="inlineStr">
        <is>
          <t>Row Total</t>
        </is>
      </c>
    </row>
    <row r="933">
      <c r="A933" t="inlineStr">
        <is>
          <t>I don’t know</t>
        </is>
      </c>
      <c r="B933" t="n">
        <v>15</v>
      </c>
      <c r="C933" t="n">
        <v>6</v>
      </c>
      <c r="D933" t="n">
        <v>1</v>
      </c>
      <c r="E933" t="n">
        <v>0</v>
      </c>
      <c r="F933" t="n">
        <v>22</v>
      </c>
    </row>
    <row r="934">
      <c r="A934" t="inlineStr">
        <is>
          <t>No</t>
        </is>
      </c>
      <c r="B934" t="n">
        <v>110</v>
      </c>
      <c r="C934" t="n">
        <v>23</v>
      </c>
      <c r="D934" t="n">
        <v>1</v>
      </c>
      <c r="E934" t="n">
        <v>2</v>
      </c>
      <c r="F934" t="n">
        <v>136</v>
      </c>
    </row>
    <row r="935">
      <c r="A935" t="inlineStr">
        <is>
          <t>Yes</t>
        </is>
      </c>
      <c r="B935" t="n">
        <v>32</v>
      </c>
      <c r="C935" t="n">
        <v>6</v>
      </c>
      <c r="D935" t="n">
        <v>1</v>
      </c>
      <c r="E935" t="n">
        <v>0</v>
      </c>
      <c r="F935" t="n">
        <v>39</v>
      </c>
    </row>
    <row r="936">
      <c r="A936" s="2" t="inlineStr">
        <is>
          <t>Column Total</t>
        </is>
      </c>
      <c r="B936" s="2" t="n">
        <v>157</v>
      </c>
      <c r="C936" s="2" t="n">
        <v>35</v>
      </c>
      <c r="D936" s="2" t="n">
        <v>3</v>
      </c>
      <c r="E936" s="2" t="n">
        <v>2</v>
      </c>
      <c r="F936" s="2" t="n">
        <v>197</v>
      </c>
    </row>
    <row r="938">
      <c r="A938" s="2" t="inlineStr">
        <is>
          <t>Expected Frequencies</t>
        </is>
      </c>
    </row>
    <row r="939">
      <c r="A939" s="2" t="n"/>
      <c r="B939" s="2" t="inlineStr">
        <is>
          <t>Definitely not</t>
        </is>
      </c>
      <c r="C939" s="2" t="inlineStr">
        <is>
          <t>Not sure</t>
        </is>
      </c>
      <c r="D939" s="2" t="inlineStr">
        <is>
          <t>Yes I am willing</t>
        </is>
      </c>
      <c r="E939" s="2" t="inlineStr">
        <is>
          <t>Yes I have</t>
        </is>
      </c>
    </row>
    <row r="940">
      <c r="A940" s="2" t="inlineStr">
        <is>
          <t>I don’t know</t>
        </is>
      </c>
      <c r="B940">
        <f>(F933*B936)/F936</f>
        <v/>
      </c>
      <c r="C940">
        <f>(F933*C936)/F936</f>
        <v/>
      </c>
      <c r="D940">
        <f>(F933*D936)/F936</f>
        <v/>
      </c>
      <c r="E940">
        <f>(F933*E936)/F936</f>
        <v/>
      </c>
    </row>
    <row r="941">
      <c r="A941" s="2" t="inlineStr">
        <is>
          <t>No</t>
        </is>
      </c>
      <c r="B941">
        <f>(F934*B936)/F936</f>
        <v/>
      </c>
      <c r="C941">
        <f>(F934*C936)/F936</f>
        <v/>
      </c>
      <c r="D941">
        <f>(F934*D936)/F936</f>
        <v/>
      </c>
      <c r="E941">
        <f>(F934*E936)/F936</f>
        <v/>
      </c>
    </row>
    <row r="942">
      <c r="A942" s="2" t="inlineStr">
        <is>
          <t>Yes</t>
        </is>
      </c>
      <c r="B942">
        <f>(F935*B936)/F936</f>
        <v/>
      </c>
      <c r="C942">
        <f>(F935*C936)/F936</f>
        <v/>
      </c>
      <c r="D942">
        <f>(F935*D936)/F936</f>
        <v/>
      </c>
      <c r="E942">
        <f>(F935*E936)/F936</f>
        <v/>
      </c>
    </row>
    <row r="945">
      <c r="A945" s="2" t="inlineStr">
        <is>
          <t>Chi-Square Components: (O - E)² / E</t>
        </is>
      </c>
    </row>
    <row r="946">
      <c r="A946" s="2" t="n"/>
      <c r="B946" s="2" t="inlineStr">
        <is>
          <t>Definitely not</t>
        </is>
      </c>
      <c r="C946" s="2" t="inlineStr">
        <is>
          <t>Not sure</t>
        </is>
      </c>
      <c r="D946" s="2" t="inlineStr">
        <is>
          <t>Yes I am willing</t>
        </is>
      </c>
      <c r="E946" s="2" t="inlineStr">
        <is>
          <t>Yes I have</t>
        </is>
      </c>
    </row>
    <row r="947">
      <c r="A947" t="inlineStr">
        <is>
          <t>I don’t know</t>
        </is>
      </c>
      <c r="B947">
        <f>IF(B940&gt;0,POWER(B933-B940,2)/B940,0)</f>
        <v/>
      </c>
      <c r="C947">
        <f>IF(C940&gt;0,POWER(C933-C940,2)/C940,0)</f>
        <v/>
      </c>
      <c r="D947">
        <f>IF(D940&gt;0,POWER(D933-D940,2)/D940,0)</f>
        <v/>
      </c>
      <c r="E947">
        <f>IF(E940&gt;0,POWER(E933-E940,2)/E940,0)</f>
        <v/>
      </c>
    </row>
    <row r="948">
      <c r="A948" t="inlineStr">
        <is>
          <t>No</t>
        </is>
      </c>
      <c r="B948">
        <f>IF(B941&gt;0,POWER(B934-B941,2)/B941,0)</f>
        <v/>
      </c>
      <c r="C948">
        <f>IF(C941&gt;0,POWER(C934-C941,2)/C941,0)</f>
        <v/>
      </c>
      <c r="D948">
        <f>IF(D941&gt;0,POWER(D934-D941,2)/D941,0)</f>
        <v/>
      </c>
      <c r="E948">
        <f>IF(E941&gt;0,POWER(E934-E941,2)/E941,0)</f>
        <v/>
      </c>
    </row>
    <row r="949">
      <c r="A949" t="inlineStr">
        <is>
          <t>Yes</t>
        </is>
      </c>
      <c r="B949">
        <f>IF(B942&gt;0,POWER(B935-B942,2)/B942,0)</f>
        <v/>
      </c>
      <c r="C949">
        <f>IF(C942&gt;0,POWER(C935-C942,2)/C942,0)</f>
        <v/>
      </c>
      <c r="D949">
        <f>IF(D942&gt;0,POWER(D935-D942,2)/D942,0)</f>
        <v/>
      </c>
      <c r="E949">
        <f>IF(E942&gt;0,POWER(E935-E942,2)/E942,0)</f>
        <v/>
      </c>
    </row>
    <row r="952">
      <c r="A952" s="9" t="inlineStr">
        <is>
          <t>Statistical Results</t>
        </is>
      </c>
    </row>
    <row r="953">
      <c r="A953" t="inlineStr">
        <is>
          <t>Chi-Square (χ²):</t>
        </is>
      </c>
      <c r="B953">
        <f>SUM(B947:E949)</f>
        <v/>
      </c>
    </row>
    <row r="954">
      <c r="A954" t="inlineStr">
        <is>
          <t>Degrees of Freedom:</t>
        </is>
      </c>
      <c r="B954" t="n">
        <v>6</v>
      </c>
    </row>
    <row r="955">
      <c r="A955" t="inlineStr">
        <is>
          <t>P-value:</t>
        </is>
      </c>
      <c r="B955">
        <f>_xlfn.CHISQ.DIST.RT(B953,6)</f>
        <v/>
      </c>
    </row>
    <row r="956">
      <c r="A956" t="inlineStr">
        <is>
          <t>Significant (p&lt;0.05)?</t>
        </is>
      </c>
      <c r="B956">
        <f>IF(B955&lt;0.05,"YES ✓","NO")</f>
        <v/>
      </c>
    </row>
    <row r="957">
      <c r="A957" t="inlineStr">
        <is>
          <t>Critical Value (α=0.05):</t>
        </is>
      </c>
      <c r="B957">
        <f>_xlfn.CHISQ.INV.RT(0.05,6)</f>
        <v/>
      </c>
    </row>
    <row r="958">
      <c r="A958" t="inlineStr">
        <is>
          <t>Cramér's V:</t>
        </is>
      </c>
      <c r="B958">
        <f>SQRT(B953/(197*2))</f>
        <v/>
      </c>
    </row>
    <row r="961">
      <c r="A961" s="6" t="inlineStr">
        <is>
          <t>ANALYSIS 32: Family History vs Q31 (Carrier marriage)</t>
        </is>
      </c>
    </row>
    <row r="963">
      <c r="A963" s="2" t="inlineStr">
        <is>
          <t>Observed Frequencies</t>
        </is>
      </c>
    </row>
    <row r="964">
      <c r="A964" s="2" t="n"/>
      <c r="B964" s="2" t="inlineStr">
        <is>
          <t>No</t>
        </is>
      </c>
      <c r="C964" s="2" t="inlineStr">
        <is>
          <t>Not sure</t>
        </is>
      </c>
      <c r="D964" s="2" t="inlineStr">
        <is>
          <t>Yes</t>
        </is>
      </c>
      <c r="E964" s="2" t="inlineStr">
        <is>
          <t>Row Total</t>
        </is>
      </c>
    </row>
    <row r="965">
      <c r="A965" t="inlineStr">
        <is>
          <t>I don’t know</t>
        </is>
      </c>
      <c r="B965" t="n">
        <v>20</v>
      </c>
      <c r="C965" t="n">
        <v>0</v>
      </c>
      <c r="D965" t="n">
        <v>2</v>
      </c>
      <c r="E965" t="n">
        <v>22</v>
      </c>
    </row>
    <row r="966">
      <c r="A966" t="inlineStr">
        <is>
          <t>No</t>
        </is>
      </c>
      <c r="B966" t="n">
        <v>100</v>
      </c>
      <c r="C966" t="n">
        <v>28</v>
      </c>
      <c r="D966" t="n">
        <v>6</v>
      </c>
      <c r="E966" t="n">
        <v>134</v>
      </c>
    </row>
    <row r="967">
      <c r="A967" t="inlineStr">
        <is>
          <t>Yes</t>
        </is>
      </c>
      <c r="B967" t="n">
        <v>32</v>
      </c>
      <c r="C967" t="n">
        <v>5</v>
      </c>
      <c r="D967" t="n">
        <v>2</v>
      </c>
      <c r="E967" t="n">
        <v>39</v>
      </c>
    </row>
    <row r="968">
      <c r="A968" s="2" t="inlineStr">
        <is>
          <t>Column Total</t>
        </is>
      </c>
      <c r="B968" s="2" t="n">
        <v>152</v>
      </c>
      <c r="C968" s="2" t="n">
        <v>33</v>
      </c>
      <c r="D968" s="2" t="n">
        <v>10</v>
      </c>
      <c r="E968" s="2" t="n">
        <v>195</v>
      </c>
    </row>
    <row r="970">
      <c r="A970" s="2" t="inlineStr">
        <is>
          <t>Expected Frequencies</t>
        </is>
      </c>
    </row>
    <row r="971">
      <c r="A971" s="2" t="n"/>
      <c r="B971" s="2" t="inlineStr">
        <is>
          <t>No</t>
        </is>
      </c>
      <c r="C971" s="2" t="inlineStr">
        <is>
          <t>Not sure</t>
        </is>
      </c>
      <c r="D971" s="2" t="inlineStr">
        <is>
          <t>Yes</t>
        </is>
      </c>
    </row>
    <row r="972">
      <c r="A972" s="2" t="inlineStr">
        <is>
          <t>I don’t know</t>
        </is>
      </c>
      <c r="B972">
        <f>(E965*B968)/E968</f>
        <v/>
      </c>
      <c r="C972">
        <f>(E965*C968)/E968</f>
        <v/>
      </c>
      <c r="D972">
        <f>(E965*D968)/E968</f>
        <v/>
      </c>
    </row>
    <row r="973">
      <c r="A973" s="2" t="inlineStr">
        <is>
          <t>No</t>
        </is>
      </c>
      <c r="B973">
        <f>(E966*B968)/E968</f>
        <v/>
      </c>
      <c r="C973">
        <f>(E966*C968)/E968</f>
        <v/>
      </c>
      <c r="D973">
        <f>(E966*D968)/E968</f>
        <v/>
      </c>
    </row>
    <row r="974">
      <c r="A974" s="2" t="inlineStr">
        <is>
          <t>Yes</t>
        </is>
      </c>
      <c r="B974">
        <f>(E967*B968)/E968</f>
        <v/>
      </c>
      <c r="C974">
        <f>(E967*C968)/E968</f>
        <v/>
      </c>
      <c r="D974">
        <f>(E967*D968)/E968</f>
        <v/>
      </c>
    </row>
    <row r="977">
      <c r="A977" s="2" t="inlineStr">
        <is>
          <t>Chi-Square Components: (O - E)² / E</t>
        </is>
      </c>
    </row>
    <row r="978">
      <c r="A978" s="2" t="n"/>
      <c r="B978" s="2" t="inlineStr">
        <is>
          <t>No</t>
        </is>
      </c>
      <c r="C978" s="2" t="inlineStr">
        <is>
          <t>Not sure</t>
        </is>
      </c>
      <c r="D978" s="2" t="inlineStr">
        <is>
          <t>Yes</t>
        </is>
      </c>
    </row>
    <row r="979">
      <c r="A979" t="inlineStr">
        <is>
          <t>I don’t know</t>
        </is>
      </c>
      <c r="B979">
        <f>IF(B972&gt;0,POWER(B965-B972,2)/B972,0)</f>
        <v/>
      </c>
      <c r="C979">
        <f>IF(C972&gt;0,POWER(C965-C972,2)/C972,0)</f>
        <v/>
      </c>
      <c r="D979">
        <f>IF(D972&gt;0,POWER(D965-D972,2)/D972,0)</f>
        <v/>
      </c>
    </row>
    <row r="980">
      <c r="A980" t="inlineStr">
        <is>
          <t>No</t>
        </is>
      </c>
      <c r="B980">
        <f>IF(B973&gt;0,POWER(B966-B973,2)/B973,0)</f>
        <v/>
      </c>
      <c r="C980">
        <f>IF(C973&gt;0,POWER(C966-C973,2)/C973,0)</f>
        <v/>
      </c>
      <c r="D980">
        <f>IF(D973&gt;0,POWER(D966-D973,2)/D973,0)</f>
        <v/>
      </c>
    </row>
    <row r="981">
      <c r="A981" t="inlineStr">
        <is>
          <t>Yes</t>
        </is>
      </c>
      <c r="B981">
        <f>IF(B974&gt;0,POWER(B967-B974,2)/B974,0)</f>
        <v/>
      </c>
      <c r="C981">
        <f>IF(C974&gt;0,POWER(C967-C974,2)/C974,0)</f>
        <v/>
      </c>
      <c r="D981">
        <f>IF(D974&gt;0,POWER(D967-D974,2)/D974,0)</f>
        <v/>
      </c>
    </row>
    <row r="984">
      <c r="A984" s="9" t="inlineStr">
        <is>
          <t>Statistical Results</t>
        </is>
      </c>
    </row>
    <row r="985">
      <c r="A985" t="inlineStr">
        <is>
          <t>Chi-Square (χ²):</t>
        </is>
      </c>
      <c r="B985">
        <f>SUM(B979:D981)</f>
        <v/>
      </c>
    </row>
    <row r="986">
      <c r="A986" t="inlineStr">
        <is>
          <t>Degrees of Freedom:</t>
        </is>
      </c>
      <c r="B986" t="n">
        <v>4</v>
      </c>
    </row>
    <row r="987">
      <c r="A987" t="inlineStr">
        <is>
          <t>P-value:</t>
        </is>
      </c>
      <c r="B987">
        <f>_xlfn.CHISQ.DIST.RT(B985,4)</f>
        <v/>
      </c>
    </row>
    <row r="988">
      <c r="A988" t="inlineStr">
        <is>
          <t>Significant (p&lt;0.05)?</t>
        </is>
      </c>
      <c r="B988">
        <f>IF(B987&lt;0.05,"YES ✓","NO")</f>
        <v/>
      </c>
    </row>
    <row r="989">
      <c r="A989" t="inlineStr">
        <is>
          <t>Critical Value (α=0.05):</t>
        </is>
      </c>
      <c r="B989">
        <f>_xlfn.CHISQ.INV.RT(0.05,4)</f>
        <v/>
      </c>
    </row>
    <row r="990">
      <c r="A990" t="inlineStr">
        <is>
          <t>Cramér's V:</t>
        </is>
      </c>
      <c r="B990">
        <f>SQRT(B985/(195*2))</f>
        <v/>
      </c>
    </row>
    <row r="995" ht="18" customHeight="1" s="61">
      <c r="A995" s="27" t="inlineStr">
        <is>
          <t>INTERPRETATION GUIDE</t>
        </is>
      </c>
    </row>
    <row r="997">
      <c r="A997" s="2" t="inlineStr">
        <is>
          <t>Chi-Square Test (χ²)</t>
        </is>
      </c>
    </row>
    <row r="998">
      <c r="A998" t="inlineStr">
        <is>
          <t>• Tests whether there is a statistically significant association between two categorical variables</t>
        </is>
      </c>
    </row>
    <row r="999">
      <c r="A999" t="inlineStr">
        <is>
          <t>• If p-value &lt; 0.05, the association is statistically significant (reject null hypothesis)</t>
        </is>
      </c>
    </row>
    <row r="1000">
      <c r="A1000" t="inlineStr">
        <is>
          <t>• If p-value ≥ 0.05, no significant association found (fail to reject null hypothesis)</t>
        </is>
      </c>
    </row>
    <row r="1002">
      <c r="A1002" s="2" t="inlineStr">
        <is>
          <t>Degrees of Freedom (df)</t>
        </is>
      </c>
    </row>
    <row r="1003">
      <c r="A1003" t="inlineStr">
        <is>
          <t>• df = (number of rows - 1) × (number of columns - 1)</t>
        </is>
      </c>
    </row>
    <row r="1004">
      <c r="A1004" t="inlineStr">
        <is>
          <t>• Used to determine the critical value and p-value</t>
        </is>
      </c>
    </row>
    <row r="1006">
      <c r="A1006" s="2" t="inlineStr">
        <is>
          <t>P-value</t>
        </is>
      </c>
    </row>
    <row r="1007">
      <c r="A1007" t="inlineStr">
        <is>
          <t>• Probability of observing results as extreme as the data if no association exists</t>
        </is>
      </c>
    </row>
    <row r="1008">
      <c r="A1008" t="inlineStr">
        <is>
          <t>• p &lt; 0.001: Very highly significant</t>
        </is>
      </c>
    </row>
    <row r="1009">
      <c r="A1009" t="inlineStr">
        <is>
          <t>• p &lt; 0.01: Highly significant</t>
        </is>
      </c>
    </row>
    <row r="1010">
      <c r="A1010" t="inlineStr">
        <is>
          <t>• p &lt; 0.05: Significant</t>
        </is>
      </c>
    </row>
    <row r="1011">
      <c r="A1011" t="inlineStr">
        <is>
          <t>• p ≥ 0.05: Not significant</t>
        </is>
      </c>
    </row>
    <row r="1013">
      <c r="A1013" s="2" t="inlineStr">
        <is>
          <t>Cramér's V (Effect Size)</t>
        </is>
      </c>
    </row>
    <row r="1014">
      <c r="A1014" t="inlineStr">
        <is>
          <t>• Measures the strength of association (ranges from 0 to 1)</t>
        </is>
      </c>
    </row>
    <row r="1015">
      <c r="A1015" t="inlineStr">
        <is>
          <t>• &lt; 0.1: Negligible</t>
        </is>
      </c>
    </row>
    <row r="1016">
      <c r="A1016" t="inlineStr">
        <is>
          <t>• 0.1 - 0.3: Small</t>
        </is>
      </c>
    </row>
    <row r="1017">
      <c r="A1017" t="inlineStr">
        <is>
          <t>• 0.3 - 0.5: Medium</t>
        </is>
      </c>
    </row>
    <row r="1018">
      <c r="A1018" t="inlineStr">
        <is>
          <t>• &gt; 0.5: Large</t>
        </is>
      </c>
    </row>
    <row r="1020">
      <c r="A1020" s="2" t="inlineStr">
        <is>
          <t>Assumptions of Chi-Square Test</t>
        </is>
      </c>
    </row>
    <row r="1021">
      <c r="A1021" t="inlineStr">
        <is>
          <t>• Data should be categorical (nominal or ordinal)</t>
        </is>
      </c>
    </row>
    <row r="1022">
      <c r="A1022" t="inlineStr">
        <is>
          <t>• Observations should be independent</t>
        </is>
      </c>
    </row>
    <row r="1023">
      <c r="A1023" t="inlineStr">
        <is>
          <t>• Expected frequency in each cell should be ≥ 5 (for validity)</t>
        </is>
      </c>
    </row>
    <row r="1024">
      <c r="A1024" t="inlineStr">
        <is>
          <t>• If expected frequencies &lt; 5, consider Fisher's Exact Test</t>
        </is>
      </c>
    </row>
    <row r="1026">
      <c r="A1026" s="2" t="inlineStr">
        <is>
          <t>Key Findings Summary</t>
        </is>
      </c>
    </row>
    <row r="1027">
      <c r="A1027" t="inlineStr">
        <is>
          <t>• Significant associations indicate that the two variables are NOT independent</t>
        </is>
      </c>
    </row>
    <row r="1028">
      <c r="A1028" t="inlineStr">
        <is>
          <t>• This suggests one variable may influence or be related to the other</t>
        </is>
      </c>
    </row>
    <row r="1029">
      <c r="A1029" t="inlineStr">
        <is>
          <t>• However, correlation ≠ causation - further research may be needed</t>
        </is>
      </c>
    </row>
  </sheetData>
  <pageMargins left="0.7" right="0.7" top="0.75" bottom="0.75" header="0.3" footer="0.3"/>
  <pageSetup orientation="portrait" scale="10"/>
</worksheet>
</file>

<file path=xl/worksheets/sheet8.xml><?xml version="1.0" encoding="utf-8"?>
<worksheet xmlns="http://schemas.openxmlformats.org/spreadsheetml/2006/main">
  <sheetPr>
    <outlinePr summaryBelow="1" summaryRight="1"/>
    <pageSetUpPr/>
  </sheetPr>
  <dimension ref="A1:M558"/>
  <sheetViews>
    <sheetView workbookViewId="0">
      <pane ySplit="19" topLeftCell="A166" activePane="bottomLeft" state="frozen"/>
      <selection pane="bottomLeft" activeCell="F5" sqref="F5"/>
    </sheetView>
  </sheetViews>
  <sheetFormatPr baseColWidth="8" defaultRowHeight="14.45"/>
  <cols>
    <col width="46.28515625" customWidth="1" style="61" min="1" max="1"/>
    <col width="37" customWidth="1" style="61" min="2" max="3"/>
    <col width="11.140625" customWidth="1" style="61" min="4" max="8"/>
    <col width="14.7109375" customWidth="1" style="61" min="9" max="11"/>
    <col width="18.5703125" customWidth="1" style="61" min="12" max="12"/>
    <col width="14.7109375" customWidth="1" style="61" min="13" max="13"/>
  </cols>
  <sheetData>
    <row r="1"/>
    <row r="4">
      <c r="A4" s="2" t="inlineStr">
        <is>
          <t>ABOUT FISHER'S EXACT TEST:</t>
        </is>
      </c>
    </row>
    <row r="5">
      <c r="A5" t="inlineStr">
        <is>
          <t>Fisher's Exact Test is used when:</t>
        </is>
      </c>
    </row>
    <row r="6">
      <c r="A6" t="inlineStr">
        <is>
          <t>• Sample size is small (n &lt; 20)</t>
        </is>
      </c>
    </row>
    <row r="7">
      <c r="A7" t="inlineStr">
        <is>
          <t>• Expected cell frequencies are less than 5 in any cell</t>
        </is>
      </c>
    </row>
    <row r="8">
      <c r="A8" t="inlineStr">
        <is>
          <t>• Data is in a 2×2 contingency table</t>
        </is>
      </c>
    </row>
    <row r="9">
      <c r="A9" t="inlineStr">
        <is>
          <t>• Chi-square approximation may not be valid</t>
        </is>
      </c>
    </row>
    <row r="11">
      <c r="A11" t="inlineStr">
        <is>
          <t>Unlike Chi-square, Fisher's Exact Test calculates the EXACT probability</t>
        </is>
      </c>
    </row>
    <row r="12">
      <c r="A12" t="inlineStr">
        <is>
          <t>of observing the data under the null hypothesis of independence.</t>
        </is>
      </c>
    </row>
    <row r="14">
      <c r="A14" t="inlineStr">
        <is>
          <t>Formula: P = (a+b)!(c+d)!(a+c)!(b+d)! / (n!×a!×b!×c!×d!)</t>
        </is>
      </c>
    </row>
    <row r="15">
      <c r="A15" t="inlineStr">
        <is>
          <t>where a,b,c,d are the four cells of the 2×2 table and n is the total.</t>
        </is>
      </c>
    </row>
    <row r="17" ht="18" customHeight="1" s="61">
      <c r="A17" s="32" t="inlineStr">
        <is>
          <t>SUMMARY TABLE OF ALL FISHER'S EXACT TEST RESULTS</t>
        </is>
      </c>
    </row>
    <row r="19">
      <c r="A19" s="36" t="inlineStr">
        <is>
          <t>#</t>
        </is>
      </c>
      <c r="B19" s="36" t="inlineStr">
        <is>
          <t>Independent Variable</t>
        </is>
      </c>
      <c r="C19" s="36" t="inlineStr">
        <is>
          <t>Dependent Variable</t>
        </is>
      </c>
      <c r="D19" s="36" t="inlineStr">
        <is>
          <t>Cell a</t>
        </is>
      </c>
      <c r="E19" s="36" t="inlineStr">
        <is>
          <t>Cell b</t>
        </is>
      </c>
      <c r="F19" s="36" t="inlineStr">
        <is>
          <t>Cell c</t>
        </is>
      </c>
      <c r="G19" s="36" t="inlineStr">
        <is>
          <t>Cell d</t>
        </is>
      </c>
      <c r="H19" s="36" t="inlineStr">
        <is>
          <t>Total n</t>
        </is>
      </c>
      <c r="I19" s="36" t="inlineStr">
        <is>
          <t>Odds Ratio</t>
        </is>
      </c>
      <c r="J19" s="36" t="inlineStr">
        <is>
          <t>95% CI Lower</t>
        </is>
      </c>
      <c r="K19" s="36" t="inlineStr">
        <is>
          <t>95% CI Upper</t>
        </is>
      </c>
      <c r="L19" s="36" t="inlineStr">
        <is>
          <t>P-value (exact)</t>
        </is>
      </c>
      <c r="M19" s="36" t="inlineStr">
        <is>
          <t>Significant?</t>
        </is>
      </c>
    </row>
    <row r="20">
      <c r="A20" s="24" t="n">
        <v>1</v>
      </c>
      <c r="B20" s="24" t="inlineStr">
        <is>
          <t>Gender (Female/Male)</t>
        </is>
      </c>
      <c r="C20" s="24" t="inlineStr">
        <is>
          <t>Q36 (Family knows status Yes/No)</t>
        </is>
      </c>
      <c r="D20" s="24" t="n">
        <v>106</v>
      </c>
      <c r="E20" s="24" t="n">
        <v>6</v>
      </c>
      <c r="F20" s="24" t="n">
        <v>75</v>
      </c>
      <c r="G20" s="24" t="n">
        <v>9</v>
      </c>
      <c r="H20" s="24" t="n">
        <v>196</v>
      </c>
      <c r="I20" s="37">
        <f>IF(OR(E20=0,F20=0),"∞",(D20*G20)/(E20*F20))</f>
        <v/>
      </c>
      <c r="J20" s="37">
        <f>IF(OR(D20=0,E20=0,F20=0,G20=0),"N/A",EXP(LN((D20*G20)/(E20*F20))-1.96*SQRT(1/D20+1/E20+1/F20+1/G20)))</f>
        <v/>
      </c>
      <c r="K20" s="37">
        <f>IF(OR(D20=0,E20=0,F20=0,G20=0),"N/A",EXP(LN((D20*G20)/(E20*F20))+1.96*SQRT(1/D20+1/E20+1/F20+1/G20)))</f>
        <v/>
      </c>
      <c r="L20" s="38">
        <f>MIN(1, 2*MIN(_xlfn.HYPGEOM.DIST(D20, D20+E20, D20+F20, H20, TRUE), 1-_xlfn.HYPGEOM.DIST(D20-1, D20+E20, D20+F20, H20, TRUE)))</f>
        <v/>
      </c>
      <c r="M20" s="24">
        <f>IF(L20&lt;0.05,"YES ✓","NO")</f>
        <v/>
      </c>
    </row>
    <row r="21">
      <c r="A21" s="24" t="n">
        <v>2</v>
      </c>
      <c r="B21" s="24" t="inlineStr">
        <is>
          <t>Family History (Yes/No)</t>
        </is>
      </c>
      <c r="C21" s="24" t="inlineStr">
        <is>
          <t>Q36 (Family knows status Yes/No)</t>
        </is>
      </c>
      <c r="D21" s="24" t="n">
        <v>36</v>
      </c>
      <c r="E21" s="24" t="n">
        <v>2</v>
      </c>
      <c r="F21" s="24" t="n">
        <v>143</v>
      </c>
      <c r="G21" s="24" t="n">
        <v>13</v>
      </c>
      <c r="H21" s="24" t="n">
        <v>194</v>
      </c>
      <c r="I21" s="37">
        <f>IF(OR(E21=0,F21=0),"∞",(D21*G21)/(E21*F21))</f>
        <v/>
      </c>
      <c r="J21" s="37">
        <f>IF(OR(D21=0,E21=0,F21=0,G21=0),"N/A",EXP(LN((D21*G21)/(E21*F21))-1.96*SQRT(1/D21+1/E21+1/F21+1/G21)))</f>
        <v/>
      </c>
      <c r="K21" s="37">
        <f>IF(OR(D21=0,E21=0,F21=0,G21=0),"N/A",EXP(LN((D21*G21)/(E21*F21))+1.96*SQRT(1/D21+1/E21+1/F21+1/G21)))</f>
        <v/>
      </c>
      <c r="L21" s="38">
        <f>MIN(1, 2*MIN(_xlfn.HYPGEOM.DIST(D21, D21+E21, D21+F21, H21, TRUE), 1-_xlfn.HYPGEOM.DIST(D21-1, D21+E21, D21+F21, H21, TRUE)))</f>
        <v/>
      </c>
      <c r="M21" s="24">
        <f>IF(L21&lt;0.05,"YES ✓","NO")</f>
        <v/>
      </c>
    </row>
    <row r="22">
      <c r="A22" s="24" t="n">
        <v>3</v>
      </c>
      <c r="B22" s="24" t="inlineStr">
        <is>
          <t>Marital Status (Single/Married)</t>
        </is>
      </c>
      <c r="C22" s="24" t="inlineStr">
        <is>
          <t>Q36 (Family knows status Yes/No)</t>
        </is>
      </c>
      <c r="D22" s="24" t="n">
        <v>120</v>
      </c>
      <c r="E22" s="24" t="n">
        <v>9</v>
      </c>
      <c r="F22" s="24" t="n">
        <v>62</v>
      </c>
      <c r="G22" s="24" t="n">
        <v>6</v>
      </c>
      <c r="H22" s="24" t="n">
        <v>197</v>
      </c>
      <c r="I22" s="37">
        <f>IF(OR(E22=0,F22=0),"∞",(D22*G22)/(E22*F22))</f>
        <v/>
      </c>
      <c r="J22" s="37">
        <f>IF(OR(D22=0,E22=0,F22=0,G22=0),"N/A",EXP(LN((D22*G22)/(E22*F22))-1.96*SQRT(1/D22+1/E22+1/F22+1/G22)))</f>
        <v/>
      </c>
      <c r="K22" s="37">
        <f>IF(OR(D22=0,E22=0,F22=0,G22=0),"N/A",EXP(LN((D22*G22)/(E22*F22))+1.96*SQRT(1/D22+1/E22+1/F22+1/G22)))</f>
        <v/>
      </c>
      <c r="L22" s="38">
        <f>MIN(1, 2*MIN(_xlfn.HYPGEOM.DIST(D22, D22+E22, D22+F22, H22, TRUE), 1-_xlfn.HYPGEOM.DIST(D22-1, D22+E22, D22+F22, H22, TRUE)))</f>
        <v/>
      </c>
      <c r="M22" s="24">
        <f>IF(L22&lt;0.05,"YES ✓","NO")</f>
        <v/>
      </c>
    </row>
    <row r="23">
      <c r="A23" s="24" t="n">
        <v>4</v>
      </c>
      <c r="B23" s="24" t="inlineStr">
        <is>
          <t>Gender (Female/Male)</t>
        </is>
      </c>
      <c r="C23" s="24" t="inlineStr">
        <is>
          <t>Q25 (Counseling adequate Yes/No)</t>
        </is>
      </c>
      <c r="D23" s="24" t="n">
        <v>73</v>
      </c>
      <c r="E23" s="24" t="n">
        <v>36</v>
      </c>
      <c r="F23" s="24" t="n">
        <v>62</v>
      </c>
      <c r="G23" s="24" t="n">
        <v>22</v>
      </c>
      <c r="H23" s="24" t="n">
        <v>193</v>
      </c>
      <c r="I23" s="37">
        <f>IF(OR(E23=0,F23=0),"∞",(D23*G23)/(E23*F23))</f>
        <v/>
      </c>
      <c r="J23" s="37">
        <f>IF(OR(D23=0,E23=0,F23=0,G23=0),"N/A",EXP(LN((D23*G23)/(E23*F23))-1.96*SQRT(1/D23+1/E23+1/F23+1/G23)))</f>
        <v/>
      </c>
      <c r="K23" s="37">
        <f>IF(OR(D23=0,E23=0,F23=0,G23=0),"N/A",EXP(LN((D23*G23)/(E23*F23))+1.96*SQRT(1/D23+1/E23+1/F23+1/G23)))</f>
        <v/>
      </c>
      <c r="L23" s="38">
        <f>MIN(1, 2*MIN(_xlfn.HYPGEOM.DIST(D23, D23+E23, D23+F23, H23, TRUE), 1-_xlfn.HYPGEOM.DIST(D23-1, D23+E23, D23+F23, H23, TRUE)))</f>
        <v/>
      </c>
      <c r="M23" s="24">
        <f>IF(L23&lt;0.05,"YES ✓","NO")</f>
        <v/>
      </c>
    </row>
    <row r="24">
      <c r="A24" s="25" t="n">
        <v>5</v>
      </c>
      <c r="B24" s="25" t="inlineStr">
        <is>
          <t>Family History (Yes/No)</t>
        </is>
      </c>
      <c r="C24" s="25" t="inlineStr">
        <is>
          <t>Q25 (Counseling adequate Yes/No)</t>
        </is>
      </c>
      <c r="D24" s="25" t="n">
        <v>17</v>
      </c>
      <c r="E24" s="25" t="n">
        <v>20</v>
      </c>
      <c r="F24" s="25" t="n">
        <v>116</v>
      </c>
      <c r="G24" s="25" t="n">
        <v>38</v>
      </c>
      <c r="H24" s="25" t="n">
        <v>191</v>
      </c>
      <c r="I24" s="39">
        <f>IF(OR(E24=0,F24=0),"∞",(D24*G24)/(E24*F24))</f>
        <v/>
      </c>
      <c r="J24" s="39">
        <f>IF(OR(D24=0,E24=0,F24=0,G24=0),"N/A",EXP(LN((D24*G24)/(E24*F24))-1.96*SQRT(1/D24+1/E24+1/F24+1/G24)))</f>
        <v/>
      </c>
      <c r="K24" s="39">
        <f>IF(OR(D24=0,E24=0,F24=0,G24=0),"N/A",EXP(LN((D24*G24)/(E24*F24))+1.96*SQRT(1/D24+1/E24+1/F24+1/G24)))</f>
        <v/>
      </c>
      <c r="L24" s="40">
        <f>MIN(1, 2*MIN(_xlfn.HYPGEOM.DIST(D24, D24+E24, D24+F24, H24, TRUE), 1-_xlfn.HYPGEOM.DIST(D24-1, D24+E24, D24+F24, H24, TRUE)))</f>
        <v/>
      </c>
      <c r="M24" s="25">
        <f>IF(L24&lt;0.05,"YES ✓","NO")</f>
        <v/>
      </c>
    </row>
    <row r="25">
      <c r="A25" s="25" t="n">
        <v>6</v>
      </c>
      <c r="B25" s="25" t="inlineStr">
        <is>
          <t>Marital Status (Single/Married)</t>
        </is>
      </c>
      <c r="C25" s="25" t="inlineStr">
        <is>
          <t>Q25 (Counseling adequate Yes/No)</t>
        </is>
      </c>
      <c r="D25" s="25" t="n">
        <v>96</v>
      </c>
      <c r="E25" s="25" t="n">
        <v>31</v>
      </c>
      <c r="F25" s="25" t="n">
        <v>40</v>
      </c>
      <c r="G25" s="25" t="n">
        <v>27</v>
      </c>
      <c r="H25" s="25" t="n">
        <v>194</v>
      </c>
      <c r="I25" s="39">
        <f>IF(OR(E25=0,F25=0),"∞",(D25*G25)/(E25*F25))</f>
        <v/>
      </c>
      <c r="J25" s="39">
        <f>IF(OR(D25=0,E25=0,F25=0,G25=0),"N/A",EXP(LN((D25*G25)/(E25*F25))-1.96*SQRT(1/D25+1/E25+1/F25+1/G25)))</f>
        <v/>
      </c>
      <c r="K25" s="39">
        <f>IF(OR(D25=0,E25=0,F25=0,G25=0),"N/A",EXP(LN((D25*G25)/(E25*F25))+1.96*SQRT(1/D25+1/E25+1/F25+1/G25)))</f>
        <v/>
      </c>
      <c r="L25" s="40">
        <f>MIN(1, 2*MIN(_xlfn.HYPGEOM.DIST(D25, D25+E25, D25+F25, H25, TRUE), 1-_xlfn.HYPGEOM.DIST(D25-1, D25+E25, D25+F25, H25, TRUE)))</f>
        <v/>
      </c>
      <c r="M25" s="25">
        <f>IF(L25&lt;0.05,"YES ✓","NO")</f>
        <v/>
      </c>
    </row>
    <row r="26">
      <c r="A26" s="24" t="n">
        <v>7</v>
      </c>
      <c r="B26" s="24" t="inlineStr">
        <is>
          <t>Gender (Female/Male)</t>
        </is>
      </c>
      <c r="C26" s="24" t="inlineStr">
        <is>
          <t>Q31 (Accept carrier marriage Yes/No)</t>
        </is>
      </c>
      <c r="D26" s="24" t="n">
        <v>4</v>
      </c>
      <c r="E26" s="24" t="n">
        <v>110</v>
      </c>
      <c r="F26" s="24" t="n">
        <v>6</v>
      </c>
      <c r="G26" s="24" t="n">
        <v>77</v>
      </c>
      <c r="H26" s="24" t="n">
        <v>197</v>
      </c>
      <c r="I26" s="37">
        <f>IF(OR(E26=0,F26=0),"∞",(D26*G26)/(E26*F26))</f>
        <v/>
      </c>
      <c r="J26" s="37">
        <f>IF(OR(D26=0,E26=0,F26=0,G26=0),"N/A",EXP(LN((D26*G26)/(E26*F26))-1.96*SQRT(1/D26+1/E26+1/F26+1/G26)))</f>
        <v/>
      </c>
      <c r="K26" s="37">
        <f>IF(OR(D26=0,E26=0,F26=0,G26=0),"N/A",EXP(LN((D26*G26)/(E26*F26))+1.96*SQRT(1/D26+1/E26+1/F26+1/G26)))</f>
        <v/>
      </c>
      <c r="L26" s="38">
        <f>MIN(1, 2*MIN(_xlfn.HYPGEOM.DIST(D26, D26+E26, D26+F26, H26, TRUE), 1-_xlfn.HYPGEOM.DIST(D26-1, D26+E26, D26+F26, H26, TRUE)))</f>
        <v/>
      </c>
      <c r="M26" s="24">
        <f>IF(L26&lt;0.05,"YES ✓","NO")</f>
        <v/>
      </c>
    </row>
    <row r="27">
      <c r="A27" s="24" t="n">
        <v>8</v>
      </c>
      <c r="B27" s="24" t="inlineStr">
        <is>
          <t>Family History (Yes/No)</t>
        </is>
      </c>
      <c r="C27" s="24" t="inlineStr">
        <is>
          <t>Q19 (Lifelong treatment Yes/No)</t>
        </is>
      </c>
      <c r="D27" s="24" t="n">
        <v>23</v>
      </c>
      <c r="E27" s="24" t="n">
        <v>16</v>
      </c>
      <c r="F27" s="24" t="n">
        <v>105</v>
      </c>
      <c r="G27" s="24" t="n">
        <v>53</v>
      </c>
      <c r="H27" s="24" t="n">
        <v>197</v>
      </c>
      <c r="I27" s="37">
        <f>IF(OR(E27=0,F27=0),"∞",(D27*G27)/(E27*F27))</f>
        <v/>
      </c>
      <c r="J27" s="37">
        <f>IF(OR(D27=0,E27=0,F27=0,G27=0),"N/A",EXP(LN((D27*G27)/(E27*F27))-1.96*SQRT(1/D27+1/E27+1/F27+1/G27)))</f>
        <v/>
      </c>
      <c r="K27" s="37">
        <f>IF(OR(D27=0,E27=0,F27=0,G27=0),"N/A",EXP(LN((D27*G27)/(E27*F27))+1.96*SQRT(1/D27+1/E27+1/F27+1/G27)))</f>
        <v/>
      </c>
      <c r="L27" s="38">
        <f>MIN(1, 2*MIN(_xlfn.HYPGEOM.DIST(D27, D27+E27, D27+F27, H27, TRUE), 1-_xlfn.HYPGEOM.DIST(D27-1, D27+E27, D27+F27, H27, TRUE)))</f>
        <v/>
      </c>
      <c r="M27" s="24">
        <f>IF(L27&lt;0.05,"YES ✓","NO")</f>
        <v/>
      </c>
    </row>
    <row r="28">
      <c r="A28" s="24" t="n">
        <v>9</v>
      </c>
      <c r="B28" s="24" t="inlineStr">
        <is>
          <t>Marital Status (Single/Married)</t>
        </is>
      </c>
      <c r="C28" s="24" t="inlineStr">
        <is>
          <t>Q31 (Accept carrier marriage Yes/No)</t>
        </is>
      </c>
      <c r="D28" s="24" t="n">
        <v>4</v>
      </c>
      <c r="E28" s="24" t="n">
        <v>125</v>
      </c>
      <c r="F28" s="24" t="n">
        <v>6</v>
      </c>
      <c r="G28" s="24" t="n">
        <v>63</v>
      </c>
      <c r="H28" s="24" t="n">
        <v>198</v>
      </c>
      <c r="I28" s="37">
        <f>IF(OR(E28=0,F28=0),"∞",(D28*G28)/(E28*F28))</f>
        <v/>
      </c>
      <c r="J28" s="37">
        <f>IF(OR(D28=0,E28=0,F28=0,G28=0),"N/A",EXP(LN((D28*G28)/(E28*F28))-1.96*SQRT(1/D28+1/E28+1/F28+1/G28)))</f>
        <v/>
      </c>
      <c r="K28" s="37">
        <f>IF(OR(D28=0,E28=0,F28=0,G28=0),"N/A",EXP(LN((D28*G28)/(E28*F28))+1.96*SQRT(1/D28+1/E28+1/F28+1/G28)))</f>
        <v/>
      </c>
      <c r="L28" s="38">
        <f>MIN(1, 2*MIN(_xlfn.HYPGEOM.DIST(D28, D28+E28, D28+F28, H28, TRUE), 1-_xlfn.HYPGEOM.DIST(D28-1, D28+E28, D28+F28, H28, TRUE)))</f>
        <v/>
      </c>
      <c r="M28" s="24">
        <f>IF(L28&lt;0.05,"YES ✓","NO")</f>
        <v/>
      </c>
    </row>
    <row r="29">
      <c r="A29" s="24" t="n">
        <v>10</v>
      </c>
      <c r="B29" s="24" t="inlineStr">
        <is>
          <t>Gender (Female/Male)</t>
        </is>
      </c>
      <c r="C29" s="24" t="inlineStr">
        <is>
          <t>Q15 (Blood disease Yes/No)</t>
        </is>
      </c>
      <c r="D29" s="24" t="n">
        <v>102</v>
      </c>
      <c r="E29" s="24" t="n">
        <v>3</v>
      </c>
      <c r="F29" s="24" t="n">
        <v>78</v>
      </c>
      <c r="G29" s="24" t="n">
        <v>1</v>
      </c>
      <c r="H29" s="24" t="n">
        <v>184</v>
      </c>
      <c r="I29" s="37">
        <f>IF(OR(E29=0,F29=0),"∞",(D29*G29)/(E29*F29))</f>
        <v/>
      </c>
      <c r="J29" s="37">
        <f>IF(OR(D29=0,E29=0,F29=0,G29=0),"N/A",EXP(LN((D29*G29)/(E29*F29))-1.96*SQRT(1/D29+1/E29+1/F29+1/G29)))</f>
        <v/>
      </c>
      <c r="K29" s="37">
        <f>IF(OR(D29=0,E29=0,F29=0,G29=0),"N/A",EXP(LN((D29*G29)/(E29*F29))+1.96*SQRT(1/D29+1/E29+1/F29+1/G29)))</f>
        <v/>
      </c>
      <c r="L29" s="38">
        <f>MIN(1, 2*MIN(_xlfn.HYPGEOM.DIST(D29, D29+E29, D29+F29, H29, TRUE), 1-_xlfn.HYPGEOM.DIST(D29-1, D29+E29, D29+F29, H29, TRUE)))</f>
        <v/>
      </c>
      <c r="M29" s="24">
        <f>IF(L29&lt;0.05,"YES ✓","NO")</f>
        <v/>
      </c>
    </row>
    <row r="30">
      <c r="A30" s="24" t="n">
        <v>11</v>
      </c>
      <c r="B30" s="24" t="inlineStr">
        <is>
          <t>Family History (Yes/No)</t>
        </is>
      </c>
      <c r="C30" s="24" t="inlineStr">
        <is>
          <t>Q21 (Can/Cannot prevent)</t>
        </is>
      </c>
      <c r="D30" s="24" t="n">
        <v>31</v>
      </c>
      <c r="E30" s="24" t="n">
        <v>3</v>
      </c>
      <c r="F30" s="24" t="n">
        <v>99</v>
      </c>
      <c r="G30" s="24" t="n">
        <v>7</v>
      </c>
      <c r="H30" s="24" t="n">
        <v>140</v>
      </c>
      <c r="I30" s="37">
        <f>IF(OR(E30=0,F30=0),"∞",(D30*G30)/(E30*F30))</f>
        <v/>
      </c>
      <c r="J30" s="37">
        <f>IF(OR(D30=0,E30=0,F30=0,G30=0),"N/A",EXP(LN((D30*G30)/(E30*F30))-1.96*SQRT(1/D30+1/E30+1/F30+1/G30)))</f>
        <v/>
      </c>
      <c r="K30" s="37">
        <f>IF(OR(D30=0,E30=0,F30=0,G30=0),"N/A",EXP(LN((D30*G30)/(E30*F30))+1.96*SQRT(1/D30+1/E30+1/F30+1/G30)))</f>
        <v/>
      </c>
      <c r="L30" s="38">
        <f>MIN(1, 2*MIN(_xlfn.HYPGEOM.DIST(D30, D30+E30, D30+F30, H30, TRUE), 1-_xlfn.HYPGEOM.DIST(D30-1, D30+E30, D30+F30, H30, TRUE)))</f>
        <v/>
      </c>
      <c r="M30" s="24">
        <f>IF(L30&lt;0.05,"YES ✓","NO")</f>
        <v/>
      </c>
    </row>
    <row r="31">
      <c r="A31" s="24" t="n">
        <v>12</v>
      </c>
      <c r="B31" s="24" t="inlineStr">
        <is>
          <t>Marital Status (Single/Married)</t>
        </is>
      </c>
      <c r="C31" s="24" t="inlineStr">
        <is>
          <t>Q21 (Can/Cannot prevent)</t>
        </is>
      </c>
      <c r="D31" s="24" t="n">
        <v>103</v>
      </c>
      <c r="E31" s="24" t="n">
        <v>8</v>
      </c>
      <c r="F31" s="24" t="n">
        <v>48</v>
      </c>
      <c r="G31" s="24" t="n">
        <v>2</v>
      </c>
      <c r="H31" s="24" t="n">
        <v>161</v>
      </c>
      <c r="I31" s="37">
        <f>IF(OR(E31=0,F31=0),"∞",(D31*G31)/(E31*F31))</f>
        <v/>
      </c>
      <c r="J31" s="37">
        <f>IF(OR(D31=0,E31=0,F31=0,G31=0),"N/A",EXP(LN((D31*G31)/(E31*F31))-1.96*SQRT(1/D31+1/E31+1/F31+1/G31)))</f>
        <v/>
      </c>
      <c r="K31" s="37">
        <f>IF(OR(D31=0,E31=0,F31=0,G31=0),"N/A",EXP(LN((D31*G31)/(E31*F31))+1.96*SQRT(1/D31+1/E31+1/F31+1/G31)))</f>
        <v/>
      </c>
      <c r="L31" s="38">
        <f>MIN(1, 2*MIN(_xlfn.HYPGEOM.DIST(D31, D31+E31, D31+F31, H31, TRUE), 1-_xlfn.HYPGEOM.DIST(D31-1, D31+E31, D31+F31, H31, TRUE)))</f>
        <v/>
      </c>
      <c r="M31" s="24">
        <f>IF(L31&lt;0.05,"YES ✓","NO")</f>
        <v/>
      </c>
    </row>
    <row r="32">
      <c r="A32" s="24" t="n">
        <v>13</v>
      </c>
      <c r="B32" s="24" t="inlineStr">
        <is>
          <t>Gender (Female/Male)</t>
        </is>
      </c>
      <c r="C32" s="24" t="inlineStr">
        <is>
          <t>Q35 (Screening important Agree/Disagree)</t>
        </is>
      </c>
      <c r="D32" s="24" t="n">
        <v>109</v>
      </c>
      <c r="E32" s="24" t="n">
        <v>2</v>
      </c>
      <c r="F32" s="24" t="n">
        <v>81</v>
      </c>
      <c r="G32" s="24" t="n">
        <v>2</v>
      </c>
      <c r="H32" s="24" t="n">
        <v>194</v>
      </c>
      <c r="I32" s="37">
        <f>IF(OR(E32=0,F32=0),"∞",(D32*G32)/(E32*F32))</f>
        <v/>
      </c>
      <c r="J32" s="37">
        <f>IF(OR(D32=0,E32=0,F32=0,G32=0),"N/A",EXP(LN((D32*G32)/(E32*F32))-1.96*SQRT(1/D32+1/E32+1/F32+1/G32)))</f>
        <v/>
      </c>
      <c r="K32" s="37">
        <f>IF(OR(D32=0,E32=0,F32=0,G32=0),"N/A",EXP(LN((D32*G32)/(E32*F32))+1.96*SQRT(1/D32+1/E32+1/F32+1/G32)))</f>
        <v/>
      </c>
      <c r="L32" s="38">
        <f>MIN(1, 2*MIN(_xlfn.HYPGEOM.DIST(D32, D32+E32, D32+F32, H32, TRUE), 1-_xlfn.HYPGEOM.DIST(D32-1, D32+E32, D32+F32, H32, TRUE)))</f>
        <v/>
      </c>
      <c r="M32" s="24">
        <f>IF(L32&lt;0.05,"YES ✓","NO")</f>
        <v/>
      </c>
    </row>
    <row r="33">
      <c r="A33" s="24" t="n">
        <v>14</v>
      </c>
      <c r="B33" s="24" t="inlineStr">
        <is>
          <t>Family History (Yes/No)</t>
        </is>
      </c>
      <c r="C33" s="24" t="inlineStr">
        <is>
          <t>Q35 (Screening important Agree/Disagree)</t>
        </is>
      </c>
      <c r="D33" s="24" t="n">
        <v>37</v>
      </c>
      <c r="E33" s="24" t="n">
        <v>1</v>
      </c>
      <c r="F33" s="24" t="n">
        <v>130</v>
      </c>
      <c r="G33" s="24" t="n">
        <v>2</v>
      </c>
      <c r="H33" s="24" t="n">
        <v>170</v>
      </c>
      <c r="I33" s="37">
        <f>IF(OR(E33=0,F33=0),"∞",(D33*G33)/(E33*F33))</f>
        <v/>
      </c>
      <c r="J33" s="37">
        <f>IF(OR(D33=0,E33=0,F33=0,G33=0),"N/A",EXP(LN((D33*G33)/(E33*F33))-1.96*SQRT(1/D33+1/E33+1/F33+1/G33)))</f>
        <v/>
      </c>
      <c r="K33" s="37">
        <f>IF(OR(D33=0,E33=0,F33=0,G33=0),"N/A",EXP(LN((D33*G33)/(E33*F33))+1.96*SQRT(1/D33+1/E33+1/F33+1/G33)))</f>
        <v/>
      </c>
      <c r="L33" s="38">
        <f>MIN(1, 2*MIN(_xlfn.HYPGEOM.DIST(D33, D33+E33, D33+F33, H33, TRUE), 1-_xlfn.HYPGEOM.DIST(D33-1, D33+E33, D33+F33, H33, TRUE)))</f>
        <v/>
      </c>
      <c r="M33" s="24">
        <f>IF(L33&lt;0.05,"YES ✓","NO")</f>
        <v/>
      </c>
    </row>
    <row r="34">
      <c r="A34" s="24" t="n">
        <v>15</v>
      </c>
      <c r="B34" s="24" t="inlineStr">
        <is>
          <t>Gender (Female/Male)</t>
        </is>
      </c>
      <c r="C34" s="24" t="inlineStr">
        <is>
          <t>Q19 (Lifelong treatment Yes/No)</t>
        </is>
      </c>
      <c r="D34" s="24" t="n">
        <v>83</v>
      </c>
      <c r="E34" s="24" t="n">
        <v>4</v>
      </c>
      <c r="F34" s="24" t="n">
        <v>46</v>
      </c>
      <c r="G34" s="24" t="n">
        <v>7</v>
      </c>
      <c r="H34" s="24" t="n">
        <v>140</v>
      </c>
      <c r="I34" s="37">
        <f>IF(OR(E34=0,F34=0),"∞",(D34*G34)/(E34*F34))</f>
        <v/>
      </c>
      <c r="J34" s="37">
        <f>IF(OR(D34=0,E34=0,F34=0,G34=0),"N/A",EXP(LN((D34*G34)/(E34*F34))-1.96*SQRT(1/D34+1/E34+1/F34+1/G34)))</f>
        <v/>
      </c>
      <c r="K34" s="37">
        <f>IF(OR(D34=0,E34=0,F34=0,G34=0),"N/A",EXP(LN((D34*G34)/(E34*F34))+1.96*SQRT(1/D34+1/E34+1/F34+1/G34)))</f>
        <v/>
      </c>
      <c r="L34" s="38">
        <f>MIN(1, 2*MIN(_xlfn.HYPGEOM.DIST(D34, D34+E34, D34+F34, H34, TRUE), 1-_xlfn.HYPGEOM.DIST(D34-1, D34+E34, D34+F34, H34, TRUE)))</f>
        <v/>
      </c>
      <c r="M34" s="24">
        <f>IF(L34&lt;0.05,"YES ✓","NO")</f>
        <v/>
      </c>
    </row>
    <row r="35">
      <c r="A35" s="24" t="n">
        <v>16</v>
      </c>
      <c r="B35" s="24" t="inlineStr">
        <is>
          <t>Family History (Yes/No)</t>
        </is>
      </c>
      <c r="C35" s="24" t="inlineStr">
        <is>
          <t>Q15 (Blood disease Yes/No)</t>
        </is>
      </c>
      <c r="D35" s="24" t="n">
        <v>35</v>
      </c>
      <c r="E35" s="24" t="n">
        <v>1</v>
      </c>
      <c r="F35" s="24" t="n">
        <v>123</v>
      </c>
      <c r="G35" s="24" t="n">
        <v>4</v>
      </c>
      <c r="H35" s="24" t="n">
        <v>163</v>
      </c>
      <c r="I35" s="37">
        <f>IF(OR(E35=0,F35=0),"∞",(D35*G35)/(E35*F35))</f>
        <v/>
      </c>
      <c r="J35" s="37">
        <f>IF(OR(D35=0,E35=0,F35=0,G35=0),"N/A",EXP(LN((D35*G35)/(E35*F35))-1.96*SQRT(1/D35+1/E35+1/F35+1/G35)))</f>
        <v/>
      </c>
      <c r="K35" s="37">
        <f>IF(OR(D35=0,E35=0,F35=0,G35=0),"N/A",EXP(LN((D35*G35)/(E35*F35))+1.96*SQRT(1/D35+1/E35+1/F35+1/G35)))</f>
        <v/>
      </c>
      <c r="L35" s="38">
        <f>MIN(1, 2*MIN(_xlfn.HYPGEOM.DIST(D35, D35+E35, D35+F35, H35, TRUE), 1-_xlfn.HYPGEOM.DIST(D35-1, D35+E35, D35+F35, H35, TRUE)))</f>
        <v/>
      </c>
      <c r="M35" s="24">
        <f>IF(L35&lt;0.05,"YES ✓","NO")</f>
        <v/>
      </c>
    </row>
    <row r="36">
      <c r="A36" s="24" t="n">
        <v>17</v>
      </c>
      <c r="B36" s="24" t="inlineStr">
        <is>
          <t>Marital Status (Single/Married)</t>
        </is>
      </c>
      <c r="C36" s="24" t="inlineStr">
        <is>
          <t>Q15 (Blood disease Yes/No)</t>
        </is>
      </c>
      <c r="D36" s="24" t="n">
        <v>117</v>
      </c>
      <c r="E36" s="24" t="n">
        <v>3</v>
      </c>
      <c r="F36" s="24" t="n">
        <v>62</v>
      </c>
      <c r="G36" s="24" t="n">
        <v>1</v>
      </c>
      <c r="H36" s="24" t="n">
        <v>183</v>
      </c>
      <c r="I36" s="37">
        <f>IF(OR(E36=0,F36=0),"∞",(D36*G36)/(E36*F36))</f>
        <v/>
      </c>
      <c r="J36" s="37">
        <f>IF(OR(D36=0,E36=0,F36=0,G36=0),"N/A",EXP(LN((D36*G36)/(E36*F36))-1.96*SQRT(1/D36+1/E36+1/F36+1/G36)))</f>
        <v/>
      </c>
      <c r="K36" s="37">
        <f>IF(OR(D36=0,E36=0,F36=0,G36=0),"N/A",EXP(LN((D36*G36)/(E36*F36))+1.96*SQRT(1/D36+1/E36+1/F36+1/G36)))</f>
        <v/>
      </c>
      <c r="L36" s="38">
        <f>MIN(1, 2*MIN(_xlfn.HYPGEOM.DIST(D36, D36+E36, D36+F36, H36, TRUE), 1-_xlfn.HYPGEOM.DIST(D36-1, D36+E36, D36+F36, H36, TRUE)))</f>
        <v/>
      </c>
      <c r="M36" s="24">
        <f>IF(L36&lt;0.05,"YES ✓","NO")</f>
        <v/>
      </c>
    </row>
    <row r="37">
      <c r="A37" s="24" t="n">
        <v>18</v>
      </c>
      <c r="B37" s="24" t="inlineStr">
        <is>
          <t>Marital Status (Single/Married)</t>
        </is>
      </c>
      <c r="C37" s="24" t="inlineStr">
        <is>
          <t>Q35 (Agree/Disagree)</t>
        </is>
      </c>
      <c r="D37" s="24" t="n">
        <v>126</v>
      </c>
      <c r="E37" s="24" t="n">
        <v>2</v>
      </c>
      <c r="F37" s="24" t="n">
        <v>64</v>
      </c>
      <c r="G37" s="24" t="n">
        <v>2</v>
      </c>
      <c r="H37" s="24" t="n">
        <v>194</v>
      </c>
      <c r="I37" s="37">
        <f>IF(OR(E37=0,F37=0),"∞",(D37*G37)/(E37*F37))</f>
        <v/>
      </c>
      <c r="J37" s="37">
        <f>IF(OR(D37=0,E37=0,F37=0,G37=0),"N/A",EXP(LN((D37*G37)/(E37*F37))-1.96*SQRT(1/D37+1/E37+1/F37+1/G37)))</f>
        <v/>
      </c>
      <c r="K37" s="37">
        <f>IF(OR(D37=0,E37=0,F37=0,G37=0),"N/A",EXP(LN((D37*G37)/(E37*F37))+1.96*SQRT(1/D37+1/E37+1/F37+1/G37)))</f>
        <v/>
      </c>
      <c r="L37" s="38">
        <f>MIN(1, 2*MIN(_xlfn.HYPGEOM.DIST(D37, D37+E37, D37+F37, H37, TRUE), 1-_xlfn.HYPGEOM.DIST(D37-1, D37+E37, D37+F37, H37, TRUE)))</f>
        <v/>
      </c>
      <c r="M37" s="24">
        <f>IF(L37&lt;0.05,"YES ✓","NO")</f>
        <v/>
      </c>
    </row>
    <row r="38">
      <c r="A38" s="24" t="n">
        <v>19</v>
      </c>
      <c r="B38" s="24" t="inlineStr">
        <is>
          <t>Family History (Yes/No)</t>
        </is>
      </c>
      <c r="C38" s="24" t="inlineStr">
        <is>
          <t>Q25 (Counseling Yes/No)</t>
        </is>
      </c>
      <c r="D38" s="24" t="n">
        <v>26</v>
      </c>
      <c r="E38" s="24" t="n">
        <v>12</v>
      </c>
      <c r="F38" s="24" t="n">
        <v>98</v>
      </c>
      <c r="G38" s="24" t="n">
        <v>37</v>
      </c>
      <c r="H38" s="24" t="n">
        <v>173</v>
      </c>
      <c r="I38" s="37">
        <f>IF(OR(E38=0,F38=0),"∞",(D38*G38)/(E38*F38))</f>
        <v/>
      </c>
      <c r="J38" s="37">
        <f>IF(OR(D38=0,E38=0,F38=0,G38=0),"N/A",EXP(LN((D38*G38)/(E38*F38))-1.96*SQRT(1/D38+1/E38+1/F38+1/G38)))</f>
        <v/>
      </c>
      <c r="K38" s="37">
        <f>IF(OR(D38=0,E38=0,F38=0,G38=0),"N/A",EXP(LN((D38*G38)/(E38*F38))+1.96*SQRT(1/D38+1/E38+1/F38+1/G38)))</f>
        <v/>
      </c>
      <c r="L38" s="38">
        <f>MIN(1, 2*MIN(_xlfn.HYPGEOM.DIST(D38, D38+E38, D38+F38, H38, TRUE), 1-_xlfn.HYPGEOM.DIST(D38-1, D38+E38, D38+F38, H38, TRUE)))</f>
        <v/>
      </c>
      <c r="M38" s="24">
        <f>IF(L38&lt;0.05,"YES ✓","NO")</f>
        <v/>
      </c>
    </row>
    <row r="39">
      <c r="A39" s="24" t="n">
        <v>20</v>
      </c>
      <c r="B39" s="24" t="inlineStr">
        <is>
          <t>Marital Status (Single/Married)</t>
        </is>
      </c>
      <c r="C39" s="24" t="inlineStr">
        <is>
          <t>Q19 (Lifelong treatment Yes/No)</t>
        </is>
      </c>
      <c r="D39" s="24" t="n">
        <v>85</v>
      </c>
      <c r="E39" s="24" t="n">
        <v>5</v>
      </c>
      <c r="F39" s="24" t="n">
        <v>43</v>
      </c>
      <c r="G39" s="24" t="n">
        <v>6</v>
      </c>
      <c r="H39" s="24" t="n">
        <v>139</v>
      </c>
      <c r="I39" s="37">
        <f>IF(OR(E39=0,F39=0),"∞",(D39*G39)/(E39*F39))</f>
        <v/>
      </c>
      <c r="J39" s="37">
        <f>IF(OR(D39=0,E39=0,F39=0,G39=0),"N/A",EXP(LN((D39*G39)/(E39*F39))-1.96*SQRT(1/D39+1/E39+1/F39+1/G39)))</f>
        <v/>
      </c>
      <c r="K39" s="37">
        <f>IF(OR(D39=0,E39=0,F39=0,G39=0),"N/A",EXP(LN((D39*G39)/(E39*F39))+1.96*SQRT(1/D39+1/E39+1/F39+1/G39)))</f>
        <v/>
      </c>
      <c r="L39" s="38">
        <f>MIN(1, 2*MIN(_xlfn.HYPGEOM.DIST(D39, D39+E39, D39+F39, H39, TRUE), 1-_xlfn.HYPGEOM.DIST(D39-1, D39+E39, D39+F39, H39, TRUE)))</f>
        <v/>
      </c>
      <c r="M39" s="24">
        <f>IF(L39&lt;0.05,"YES ✓","NO")</f>
        <v/>
      </c>
    </row>
    <row r="44" ht="18" customHeight="1" s="61">
      <c r="A44" s="33" t="inlineStr">
        <is>
          <t>DETAILED CONTINGENCY TABLES AND CALCULATIONS</t>
        </is>
      </c>
    </row>
    <row r="47">
      <c r="A47" s="34" t="inlineStr">
        <is>
          <t>ANALYSIS 1: Gender vs Q36 (Family knows thalassemia status)</t>
        </is>
      </c>
    </row>
    <row r="49">
      <c r="A49" s="2" t="inlineStr">
        <is>
          <t>OBSERVED FREQUENCIES</t>
        </is>
      </c>
    </row>
    <row r="50">
      <c r="A50" s="7" t="n"/>
      <c r="B50" s="7" t="inlineStr">
        <is>
          <t>Yes (knows)</t>
        </is>
      </c>
      <c r="C50" s="7" t="inlineStr">
        <is>
          <t>No (doesn't know)</t>
        </is>
      </c>
      <c r="D50" s="7" t="inlineStr">
        <is>
          <t>Row Total</t>
        </is>
      </c>
    </row>
    <row r="51">
      <c r="A51" t="inlineStr">
        <is>
          <t>Female</t>
        </is>
      </c>
      <c r="B51" t="n">
        <v>106</v>
      </c>
      <c r="C51" t="n">
        <v>6</v>
      </c>
      <c r="D51">
        <f>B51+C51</f>
        <v/>
      </c>
    </row>
    <row r="52">
      <c r="A52" t="inlineStr">
        <is>
          <t>Male</t>
        </is>
      </c>
      <c r="B52" t="n">
        <v>75</v>
      </c>
      <c r="C52" t="n">
        <v>9</v>
      </c>
      <c r="D52">
        <f>B52+C52</f>
        <v/>
      </c>
    </row>
    <row r="53">
      <c r="A53" t="inlineStr">
        <is>
          <t>Column Total</t>
        </is>
      </c>
      <c r="B53">
        <f>B51+B52</f>
        <v/>
      </c>
      <c r="C53">
        <f>C51+C52</f>
        <v/>
      </c>
      <c r="D53">
        <f>D51+D52</f>
        <v/>
      </c>
    </row>
    <row r="55">
      <c r="A55" s="2" t="inlineStr">
        <is>
          <t>EXPECTED FREQUENCIES: E = (Row Total × Column Total) / Grand Total</t>
        </is>
      </c>
    </row>
    <row r="56">
      <c r="A56" s="8" t="n"/>
      <c r="B56" s="8" t="inlineStr">
        <is>
          <t>Yes (knows)</t>
        </is>
      </c>
      <c r="C56" s="8" t="inlineStr">
        <is>
          <t>No (doesn't know)</t>
        </is>
      </c>
      <c r="D56" s="8" t="n"/>
    </row>
    <row r="57">
      <c r="A57" t="inlineStr">
        <is>
          <t>Female</t>
        </is>
      </c>
      <c r="B57" s="15">
        <f>($D$51*$B$53)/$D$53</f>
        <v/>
      </c>
      <c r="C57" s="15">
        <f>($D$51*$C$53)/$D$53</f>
        <v/>
      </c>
    </row>
    <row r="58">
      <c r="A58" t="inlineStr">
        <is>
          <t>Male</t>
        </is>
      </c>
      <c r="B58" s="15">
        <f>($D$52*$B$53)/$D$53</f>
        <v/>
      </c>
      <c r="C58" s="15">
        <f>($D$52*$C$53)/$D$53</f>
        <v/>
      </c>
    </row>
    <row r="62">
      <c r="A62" s="2" t="inlineStr">
        <is>
          <t>STATISTICAL RESULTS</t>
        </is>
      </c>
    </row>
    <row r="63">
      <c r="A63" t="inlineStr">
        <is>
          <t>Odds Ratio (OR):</t>
        </is>
      </c>
      <c r="B63">
        <f>I20</f>
        <v/>
      </c>
    </row>
    <row r="64">
      <c r="A64" t="inlineStr">
        <is>
          <t>95% CI Lower:</t>
        </is>
      </c>
      <c r="B64">
        <f>J20</f>
        <v/>
      </c>
    </row>
    <row r="65">
      <c r="A65" t="inlineStr">
        <is>
          <t>95% CI Upper:</t>
        </is>
      </c>
      <c r="B65">
        <f>K20</f>
        <v/>
      </c>
    </row>
    <row r="66">
      <c r="A66" t="inlineStr">
        <is>
          <t>Fisher's Exact P-value:</t>
        </is>
      </c>
      <c r="B66">
        <f>L20</f>
        <v/>
      </c>
    </row>
    <row r="67">
      <c r="A67" t="inlineStr">
        <is>
          <t>Significant at α=0.05?</t>
        </is>
      </c>
      <c r="B67">
        <f>M20</f>
        <v/>
      </c>
    </row>
    <row r="68">
      <c r="A68" t="inlineStr">
        <is>
          <t>Interpretation:</t>
        </is>
      </c>
      <c r="B68" t="inlineStr">
        <is>
          <t>No significant association between gender and family knowing status</t>
        </is>
      </c>
    </row>
    <row r="72">
      <c r="A72" s="34" t="inlineStr">
        <is>
          <t>ANALYSIS 2: Family History vs Q36 (Family knows thalassemia status)</t>
        </is>
      </c>
    </row>
    <row r="74">
      <c r="A74" s="2" t="inlineStr">
        <is>
          <t>OBSERVED FREQUENCIES</t>
        </is>
      </c>
    </row>
    <row r="75">
      <c r="A75" s="7" t="n"/>
      <c r="B75" s="7" t="inlineStr">
        <is>
          <t>Yes (knows)</t>
        </is>
      </c>
      <c r="C75" s="7" t="inlineStr">
        <is>
          <t>No (doesn't know)</t>
        </is>
      </c>
      <c r="D75" s="7" t="inlineStr">
        <is>
          <t>Row Total</t>
        </is>
      </c>
    </row>
    <row r="76">
      <c r="A76" t="inlineStr">
        <is>
          <t>Family History Yes</t>
        </is>
      </c>
      <c r="B76" t="n">
        <v>36</v>
      </c>
      <c r="C76" t="n">
        <v>2</v>
      </c>
      <c r="D76">
        <f>B76+C76</f>
        <v/>
      </c>
    </row>
    <row r="77">
      <c r="A77" t="inlineStr">
        <is>
          <t>Family History No</t>
        </is>
      </c>
      <c r="B77" t="n">
        <v>143</v>
      </c>
      <c r="C77" t="n">
        <v>13</v>
      </c>
      <c r="D77">
        <f>B77+C77</f>
        <v/>
      </c>
    </row>
    <row r="78">
      <c r="A78" t="inlineStr">
        <is>
          <t>Column Total</t>
        </is>
      </c>
      <c r="B78">
        <f>B76+B77</f>
        <v/>
      </c>
      <c r="C78">
        <f>C76+C77</f>
        <v/>
      </c>
      <c r="D78">
        <f>D76+D77</f>
        <v/>
      </c>
    </row>
    <row r="81">
      <c r="A81" s="2" t="inlineStr">
        <is>
          <t>EXPECTED FREQUENCIES</t>
        </is>
      </c>
    </row>
    <row r="82">
      <c r="A82" s="8" t="n"/>
      <c r="B82" s="8" t="inlineStr">
        <is>
          <t>Yes (knows)</t>
        </is>
      </c>
      <c r="C82" s="8" t="inlineStr">
        <is>
          <t>No (doesn't know)</t>
        </is>
      </c>
    </row>
    <row r="83">
      <c r="A83" t="inlineStr">
        <is>
          <t>Family History Yes</t>
        </is>
      </c>
      <c r="B83" s="15">
        <f>($D$76*$B$78)/$D$78</f>
        <v/>
      </c>
      <c r="C83" s="15">
        <f>($D$76*$C$78)/$D$78</f>
        <v/>
      </c>
    </row>
    <row r="84">
      <c r="A84" t="inlineStr">
        <is>
          <t>Family History No</t>
        </is>
      </c>
      <c r="B84" s="15">
        <f>($D$77*$B$78)/$D$78</f>
        <v/>
      </c>
      <c r="C84" s="15">
        <f>($D$77*$C$78)/$D$78</f>
        <v/>
      </c>
    </row>
    <row r="87">
      <c r="A87" s="2" t="inlineStr">
        <is>
          <t>STATISTICAL RESULTS</t>
        </is>
      </c>
    </row>
    <row r="88">
      <c r="A88" t="inlineStr">
        <is>
          <t>Odds Ratio (OR):</t>
        </is>
      </c>
      <c r="B88">
        <f>I21</f>
        <v/>
      </c>
    </row>
    <row r="89">
      <c r="A89" t="inlineStr">
        <is>
          <t>95% CI Lower:</t>
        </is>
      </c>
      <c r="B89">
        <f>J21</f>
        <v/>
      </c>
    </row>
    <row r="90">
      <c r="A90" t="inlineStr">
        <is>
          <t>95% CI Upper:</t>
        </is>
      </c>
      <c r="B90">
        <f>K21</f>
        <v/>
      </c>
    </row>
    <row r="91">
      <c r="A91" t="inlineStr">
        <is>
          <t>Fisher's Exact P-value:</t>
        </is>
      </c>
      <c r="B91">
        <f>L21</f>
        <v/>
      </c>
    </row>
    <row r="92">
      <c r="A92" t="inlineStr">
        <is>
          <t>Significant at α=0.05?</t>
        </is>
      </c>
      <c r="B92">
        <f>M21</f>
        <v/>
      </c>
    </row>
    <row r="93">
      <c r="A93" t="inlineStr">
        <is>
          <t>Interpretation:</t>
        </is>
      </c>
      <c r="B93" t="inlineStr">
        <is>
          <t>Family history does not significantly affect family disclosure</t>
        </is>
      </c>
    </row>
    <row r="97">
      <c r="A97" s="34" t="inlineStr">
        <is>
          <t>ANALYSIS 3: Marital Status vs Q36 (Family knows thalassemia status)</t>
        </is>
      </c>
    </row>
    <row r="99">
      <c r="A99" s="2" t="inlineStr">
        <is>
          <t>OBSERVED FREQUENCIES</t>
        </is>
      </c>
    </row>
    <row r="100">
      <c r="A100" s="7" t="n"/>
      <c r="B100" s="7" t="inlineStr">
        <is>
          <t>Yes (knows)</t>
        </is>
      </c>
      <c r="C100" s="7" t="inlineStr">
        <is>
          <t>No (doesn't know)</t>
        </is>
      </c>
      <c r="D100" s="7" t="inlineStr">
        <is>
          <t>Row Total</t>
        </is>
      </c>
    </row>
    <row r="101">
      <c r="A101" t="inlineStr">
        <is>
          <t>Single</t>
        </is>
      </c>
      <c r="B101" t="n">
        <v>120</v>
      </c>
      <c r="C101" t="n">
        <v>9</v>
      </c>
      <c r="D101">
        <f>B101+C101</f>
        <v/>
      </c>
    </row>
    <row r="102">
      <c r="A102" t="inlineStr">
        <is>
          <t>Married</t>
        </is>
      </c>
      <c r="B102" t="n">
        <v>62</v>
      </c>
      <c r="C102" t="n">
        <v>6</v>
      </c>
      <c r="D102">
        <f>B102+C102</f>
        <v/>
      </c>
    </row>
    <row r="103">
      <c r="A103" t="inlineStr">
        <is>
          <t>Column Total</t>
        </is>
      </c>
      <c r="B103">
        <f>B101+B102</f>
        <v/>
      </c>
      <c r="C103">
        <f>C101+C102</f>
        <v/>
      </c>
      <c r="D103">
        <f>D101+D102</f>
        <v/>
      </c>
    </row>
    <row r="106">
      <c r="A106" s="2" t="inlineStr">
        <is>
          <t>EXPECTED FREQUENCIES</t>
        </is>
      </c>
    </row>
    <row r="107">
      <c r="A107" s="8" t="n"/>
      <c r="B107" s="8" t="inlineStr">
        <is>
          <t>Yes (knows)</t>
        </is>
      </c>
      <c r="C107" s="8" t="inlineStr">
        <is>
          <t>No (doesn't know)</t>
        </is>
      </c>
    </row>
    <row r="108">
      <c r="A108" t="inlineStr">
        <is>
          <t>Single</t>
        </is>
      </c>
      <c r="B108" s="15">
        <f>($D$101*$B$103)/$D$103</f>
        <v/>
      </c>
      <c r="C108" s="15">
        <f>($D$101*$C$103)/$D$103</f>
        <v/>
      </c>
    </row>
    <row r="109">
      <c r="A109" t="inlineStr">
        <is>
          <t>Married</t>
        </is>
      </c>
      <c r="B109" s="15">
        <f>($D$102*$B$103)/$D$103</f>
        <v/>
      </c>
      <c r="C109" s="15">
        <f>($D$102*$C$103)/$D$103</f>
        <v/>
      </c>
    </row>
    <row r="112">
      <c r="A112" s="2" t="inlineStr">
        <is>
          <t>STATISTICAL RESULTS</t>
        </is>
      </c>
    </row>
    <row r="113">
      <c r="A113" t="inlineStr">
        <is>
          <t>Odds Ratio (OR):</t>
        </is>
      </c>
      <c r="B113">
        <f>I22</f>
        <v/>
      </c>
    </row>
    <row r="114">
      <c r="A114" t="inlineStr">
        <is>
          <t>95% CI Lower:</t>
        </is>
      </c>
      <c r="B114">
        <f>J22</f>
        <v/>
      </c>
    </row>
    <row r="115">
      <c r="A115" t="inlineStr">
        <is>
          <t>95% CI Upper:</t>
        </is>
      </c>
      <c r="B115">
        <f>K22</f>
        <v/>
      </c>
    </row>
    <row r="116">
      <c r="A116" t="inlineStr">
        <is>
          <t>Fisher's Exact P-value:</t>
        </is>
      </c>
      <c r="B116">
        <f>L22</f>
        <v/>
      </c>
    </row>
    <row r="117">
      <c r="A117" t="inlineStr">
        <is>
          <t>Significant at α=0.05?</t>
        </is>
      </c>
      <c r="B117">
        <f>M22</f>
        <v/>
      </c>
    </row>
    <row r="118">
      <c r="A118" t="inlineStr">
        <is>
          <t>Interpretation:</t>
        </is>
      </c>
      <c r="B118" t="inlineStr">
        <is>
          <t>Marital status does not significantly affect family disclosure</t>
        </is>
      </c>
    </row>
    <row r="122">
      <c r="A122" s="34" t="inlineStr">
        <is>
          <t>ANALYSIS 4: Gender vs Q25 (Was counseling/information sufficient?)</t>
        </is>
      </c>
    </row>
    <row r="124">
      <c r="A124" s="2" t="inlineStr">
        <is>
          <t>OBSERVED FREQUENCIES</t>
        </is>
      </c>
    </row>
    <row r="125">
      <c r="A125" s="7" t="n"/>
      <c r="B125" s="7" t="inlineStr">
        <is>
          <t>Yes</t>
        </is>
      </c>
      <c r="C125" s="7" t="inlineStr">
        <is>
          <t>No</t>
        </is>
      </c>
      <c r="D125" s="7" t="inlineStr">
        <is>
          <t>Row Total</t>
        </is>
      </c>
    </row>
    <row r="126">
      <c r="A126" t="inlineStr">
        <is>
          <t>Female</t>
        </is>
      </c>
      <c r="B126" t="n">
        <v>73</v>
      </c>
      <c r="C126" t="n">
        <v>36</v>
      </c>
      <c r="D126">
        <f>B126+C126</f>
        <v/>
      </c>
    </row>
    <row r="127">
      <c r="A127" t="inlineStr">
        <is>
          <t>Male</t>
        </is>
      </c>
      <c r="B127" t="n">
        <v>62</v>
      </c>
      <c r="C127" t="n">
        <v>22</v>
      </c>
      <c r="D127">
        <f>B127+C127</f>
        <v/>
      </c>
    </row>
    <row r="128">
      <c r="A128" t="inlineStr">
        <is>
          <t>Column Total</t>
        </is>
      </c>
      <c r="B128">
        <f>B126+B127</f>
        <v/>
      </c>
      <c r="C128">
        <f>C126+C127</f>
        <v/>
      </c>
      <c r="D128">
        <f>D126+D127</f>
        <v/>
      </c>
    </row>
    <row r="131">
      <c r="A131" s="2" t="inlineStr">
        <is>
          <t>EXPECTED FREQUENCIES</t>
        </is>
      </c>
    </row>
    <row r="132">
      <c r="A132" s="8" t="n"/>
      <c r="B132" s="8" t="inlineStr">
        <is>
          <t>Yes</t>
        </is>
      </c>
      <c r="C132" s="8" t="inlineStr">
        <is>
          <t>No</t>
        </is>
      </c>
    </row>
    <row r="133">
      <c r="A133" t="inlineStr">
        <is>
          <t>Female</t>
        </is>
      </c>
      <c r="B133" s="15">
        <f>($D$126*$B$128)/$D$128</f>
        <v/>
      </c>
      <c r="C133" s="15">
        <f>($D$126*$C$128)/$D$128</f>
        <v/>
      </c>
    </row>
    <row r="134">
      <c r="A134" t="inlineStr">
        <is>
          <t>Male</t>
        </is>
      </c>
      <c r="B134" s="15">
        <f>($D$127*$B$128)/$D$128</f>
        <v/>
      </c>
      <c r="C134" s="15">
        <f>($D$127*$C$128)/$D$128</f>
        <v/>
      </c>
    </row>
    <row r="137">
      <c r="A137" s="2" t="inlineStr">
        <is>
          <t>STATISTICAL RESULTS</t>
        </is>
      </c>
    </row>
    <row r="138">
      <c r="A138" t="inlineStr">
        <is>
          <t>Odds Ratio (OR):</t>
        </is>
      </c>
      <c r="B138">
        <f>I23</f>
        <v/>
      </c>
    </row>
    <row r="139">
      <c r="A139" t="inlineStr">
        <is>
          <t>95% CI Lower:</t>
        </is>
      </c>
      <c r="B139">
        <f>J23</f>
        <v/>
      </c>
    </row>
    <row r="140">
      <c r="A140" t="inlineStr">
        <is>
          <t>95% CI Upper:</t>
        </is>
      </c>
      <c r="B140">
        <f>K23</f>
        <v/>
      </c>
    </row>
    <row r="141">
      <c r="A141" t="inlineStr">
        <is>
          <t>Fisher's Exact P-value:</t>
        </is>
      </c>
      <c r="B141">
        <f>L23</f>
        <v/>
      </c>
    </row>
    <row r="142">
      <c r="A142" t="inlineStr">
        <is>
          <t>Significant at α=0.05?</t>
        </is>
      </c>
      <c r="B142">
        <f>M23</f>
        <v/>
      </c>
    </row>
    <row r="143">
      <c r="A143" t="inlineStr">
        <is>
          <t>Interpretation:</t>
        </is>
      </c>
      <c r="B143" t="inlineStr">
        <is>
          <t>No significant gender difference in counseling adequacy perception</t>
        </is>
      </c>
    </row>
    <row r="147">
      <c r="A147" s="34" t="inlineStr">
        <is>
          <t>ANALYSIS 5: Family History vs Q25 (Was counseling/information sufficient?)</t>
        </is>
      </c>
    </row>
    <row r="149">
      <c r="A149" s="2" t="inlineStr">
        <is>
          <t>OBSERVED FREQUENCIES</t>
        </is>
      </c>
    </row>
    <row r="150">
      <c r="A150" s="7" t="n"/>
      <c r="B150" s="7" t="inlineStr">
        <is>
          <t>Yes</t>
        </is>
      </c>
      <c r="C150" s="7" t="inlineStr">
        <is>
          <t>No</t>
        </is>
      </c>
      <c r="D150" s="7" t="inlineStr">
        <is>
          <t>Row Total</t>
        </is>
      </c>
    </row>
    <row r="151">
      <c r="A151" t="inlineStr">
        <is>
          <t>Family History Yes</t>
        </is>
      </c>
      <c r="B151" t="n">
        <v>17</v>
      </c>
      <c r="C151" t="n">
        <v>20</v>
      </c>
      <c r="D151">
        <f>B151+C151</f>
        <v/>
      </c>
    </row>
    <row r="152">
      <c r="A152" t="inlineStr">
        <is>
          <t>Family History No</t>
        </is>
      </c>
      <c r="B152" t="n">
        <v>116</v>
      </c>
      <c r="C152" t="n">
        <v>38</v>
      </c>
      <c r="D152">
        <f>B152+C152</f>
        <v/>
      </c>
    </row>
    <row r="153">
      <c r="A153" t="inlineStr">
        <is>
          <t>Column Total</t>
        </is>
      </c>
      <c r="B153">
        <f>B151+B152</f>
        <v/>
      </c>
      <c r="C153">
        <f>C151+C152</f>
        <v/>
      </c>
      <c r="D153">
        <f>D151+D152</f>
        <v/>
      </c>
    </row>
    <row r="156">
      <c r="A156" s="2" t="inlineStr">
        <is>
          <t>EXPECTED FREQUENCIES</t>
        </is>
      </c>
    </row>
    <row r="157">
      <c r="A157" s="8" t="n"/>
      <c r="B157" s="8" t="inlineStr">
        <is>
          <t>Yes</t>
        </is>
      </c>
      <c r="C157" s="8" t="inlineStr">
        <is>
          <t>No</t>
        </is>
      </c>
    </row>
    <row r="158">
      <c r="A158" t="inlineStr">
        <is>
          <t>Family History Yes</t>
        </is>
      </c>
      <c r="B158" s="15">
        <f>($D$151*$B$153)/$D$153</f>
        <v/>
      </c>
      <c r="C158" s="15">
        <f>($D$151*$C$153)/$D$153</f>
        <v/>
      </c>
    </row>
    <row r="159">
      <c r="A159" t="inlineStr">
        <is>
          <t>Family History No</t>
        </is>
      </c>
      <c r="B159" s="15">
        <f>($D$152*$B$153)/$D$153</f>
        <v/>
      </c>
      <c r="C159" s="15">
        <f>($D$152*$C$153)/$D$153</f>
        <v/>
      </c>
    </row>
    <row r="162">
      <c r="A162" s="2" t="inlineStr">
        <is>
          <t>STATISTICAL RESULTS</t>
        </is>
      </c>
    </row>
    <row r="163">
      <c r="A163" t="inlineStr">
        <is>
          <t>Odds Ratio (OR):</t>
        </is>
      </c>
      <c r="B163">
        <f>I24</f>
        <v/>
      </c>
    </row>
    <row r="164">
      <c r="A164" t="inlineStr">
        <is>
          <t>95% CI Lower:</t>
        </is>
      </c>
      <c r="B164">
        <f>J24</f>
        <v/>
      </c>
    </row>
    <row r="165">
      <c r="A165" t="inlineStr">
        <is>
          <t>95% CI Upper:</t>
        </is>
      </c>
      <c r="B165">
        <f>K24</f>
        <v/>
      </c>
    </row>
    <row r="166">
      <c r="A166" t="inlineStr">
        <is>
          <t>Fisher's Exact P-value:</t>
        </is>
      </c>
      <c r="B166">
        <f>L24</f>
        <v/>
      </c>
    </row>
    <row r="167">
      <c r="A167" t="inlineStr">
        <is>
          <t>Significant at α=0.05?</t>
        </is>
      </c>
      <c r="B167">
        <f>M24</f>
        <v/>
      </c>
    </row>
    <row r="168">
      <c r="A168" t="inlineStr">
        <is>
          <t>Interpretation:</t>
        </is>
      </c>
      <c r="B168" t="inlineStr">
        <is>
          <t>Those with family history may perceive counseling differently</t>
        </is>
      </c>
    </row>
    <row r="172">
      <c r="A172" s="34" t="inlineStr">
        <is>
          <t>ANALYSIS 6: Marital Status vs Q25 (Was counseling/information sufficient?)</t>
        </is>
      </c>
    </row>
    <row r="174">
      <c r="A174" s="2" t="inlineStr">
        <is>
          <t>OBSERVED FREQUENCIES</t>
        </is>
      </c>
    </row>
    <row r="175">
      <c r="A175" s="7" t="n"/>
      <c r="B175" s="7" t="inlineStr">
        <is>
          <t>Yes</t>
        </is>
      </c>
      <c r="C175" s="7" t="inlineStr">
        <is>
          <t>No</t>
        </is>
      </c>
      <c r="D175" s="7" t="inlineStr">
        <is>
          <t>Row Total</t>
        </is>
      </c>
    </row>
    <row r="176">
      <c r="A176" t="inlineStr">
        <is>
          <t>Single</t>
        </is>
      </c>
      <c r="B176" t="n">
        <v>96</v>
      </c>
      <c r="C176" t="n">
        <v>31</v>
      </c>
      <c r="D176">
        <f>B176+C176</f>
        <v/>
      </c>
    </row>
    <row r="177">
      <c r="A177" t="inlineStr">
        <is>
          <t>Married</t>
        </is>
      </c>
      <c r="B177" t="n">
        <v>40</v>
      </c>
      <c r="C177" t="n">
        <v>27</v>
      </c>
      <c r="D177">
        <f>B177+C177</f>
        <v/>
      </c>
    </row>
    <row r="178">
      <c r="A178" t="inlineStr">
        <is>
          <t>Column Total</t>
        </is>
      </c>
      <c r="B178">
        <f>B176+B177</f>
        <v/>
      </c>
      <c r="C178">
        <f>C176+C177</f>
        <v/>
      </c>
      <c r="D178">
        <f>D176+D177</f>
        <v/>
      </c>
    </row>
    <row r="181">
      <c r="A181" s="2" t="inlineStr">
        <is>
          <t>EXPECTED FREQUENCIES</t>
        </is>
      </c>
    </row>
    <row r="182">
      <c r="A182" s="8" t="n"/>
      <c r="B182" s="8" t="inlineStr">
        <is>
          <t>Yes</t>
        </is>
      </c>
      <c r="C182" s="8" t="inlineStr">
        <is>
          <t>No</t>
        </is>
      </c>
    </row>
    <row r="183">
      <c r="A183" t="inlineStr">
        <is>
          <t>Single</t>
        </is>
      </c>
      <c r="B183" s="15">
        <f>($D$176*$B$178)/$D$178</f>
        <v/>
      </c>
      <c r="C183" s="15">
        <f>($D$176*$C$178)/$D$178</f>
        <v/>
      </c>
    </row>
    <row r="184">
      <c r="A184" t="inlineStr">
        <is>
          <t>Married</t>
        </is>
      </c>
      <c r="B184" s="15">
        <f>($D$177*$B$178)/$D$178</f>
        <v/>
      </c>
      <c r="C184" s="15">
        <f>($D$177*$C$178)/$D$178</f>
        <v/>
      </c>
    </row>
    <row r="187">
      <c r="A187" s="2" t="inlineStr">
        <is>
          <t>STATISTICAL RESULTS</t>
        </is>
      </c>
    </row>
    <row r="188">
      <c r="A188" t="inlineStr">
        <is>
          <t>Odds Ratio (OR):</t>
        </is>
      </c>
      <c r="B188">
        <f>I25</f>
        <v/>
      </c>
    </row>
    <row r="189">
      <c r="A189" t="inlineStr">
        <is>
          <t>95% CI Lower:</t>
        </is>
      </c>
      <c r="B189">
        <f>J25</f>
        <v/>
      </c>
    </row>
    <row r="190">
      <c r="A190" t="inlineStr">
        <is>
          <t>95% CI Upper:</t>
        </is>
      </c>
      <c r="B190">
        <f>K25</f>
        <v/>
      </c>
    </row>
    <row r="191">
      <c r="A191" t="inlineStr">
        <is>
          <t>Fisher's Exact P-value:</t>
        </is>
      </c>
      <c r="B191">
        <f>L25</f>
        <v/>
      </c>
    </row>
    <row r="192">
      <c r="A192" t="inlineStr">
        <is>
          <t>Significant at α=0.05?</t>
        </is>
      </c>
      <c r="B192">
        <f>M25</f>
        <v/>
      </c>
    </row>
    <row r="193">
      <c r="A193" t="inlineStr">
        <is>
          <t>Interpretation:</t>
        </is>
      </c>
      <c r="B193" t="inlineStr">
        <is>
          <t>Single individuals may perceive counseling adequacy differently than married</t>
        </is>
      </c>
    </row>
    <row r="197">
      <c r="A197" s="34" t="inlineStr">
        <is>
          <t>ANALYSIS 7: Gender vs Q31 (Accept marriage between two carriers)</t>
        </is>
      </c>
    </row>
    <row r="199">
      <c r="A199" s="2" t="inlineStr">
        <is>
          <t>OBSERVED FREQUENCIES</t>
        </is>
      </c>
    </row>
    <row r="200">
      <c r="A200" s="7" t="n"/>
      <c r="B200" s="7" t="inlineStr">
        <is>
          <t>Yes</t>
        </is>
      </c>
      <c r="C200" s="7" t="inlineStr">
        <is>
          <t>No</t>
        </is>
      </c>
      <c r="D200" s="7" t="inlineStr">
        <is>
          <t>Row Total</t>
        </is>
      </c>
    </row>
    <row r="201">
      <c r="A201" t="inlineStr">
        <is>
          <t>Female</t>
        </is>
      </c>
      <c r="B201" t="n">
        <v>4</v>
      </c>
      <c r="C201" t="n">
        <v>110</v>
      </c>
      <c r="D201" t="n">
        <v>114</v>
      </c>
    </row>
    <row r="202">
      <c r="A202" t="inlineStr">
        <is>
          <t>Male</t>
        </is>
      </c>
      <c r="B202" t="n">
        <v>6</v>
      </c>
      <c r="C202" t="n">
        <v>77</v>
      </c>
      <c r="D202" t="n">
        <v>83</v>
      </c>
    </row>
    <row r="203">
      <c r="A203" t="inlineStr">
        <is>
          <t>Column Total</t>
        </is>
      </c>
      <c r="B203" t="n">
        <v>10</v>
      </c>
      <c r="C203" t="n">
        <v>187</v>
      </c>
      <c r="D203" t="n">
        <v>197</v>
      </c>
    </row>
    <row r="206">
      <c r="A206" s="2" t="inlineStr">
        <is>
          <t>STATISTICAL RESULTS</t>
        </is>
      </c>
    </row>
    <row r="207">
      <c r="A207" t="inlineStr">
        <is>
          <t>Odds Ratio (OR):</t>
        </is>
      </c>
      <c r="B207">
        <f>I26</f>
        <v/>
      </c>
    </row>
    <row r="208">
      <c r="A208" t="inlineStr">
        <is>
          <t>95% CI Lower:</t>
        </is>
      </c>
      <c r="B208">
        <f>J26</f>
        <v/>
      </c>
    </row>
    <row r="209">
      <c r="A209" t="inlineStr">
        <is>
          <t>95% CI Upper:</t>
        </is>
      </c>
      <c r="B209">
        <f>K26</f>
        <v/>
      </c>
    </row>
    <row r="210">
      <c r="A210" t="inlineStr">
        <is>
          <t>Fisher's Exact P-value:</t>
        </is>
      </c>
      <c r="B210">
        <f>L26</f>
        <v/>
      </c>
    </row>
    <row r="211">
      <c r="A211" t="inlineStr">
        <is>
          <t>Significant at α=0.05?</t>
        </is>
      </c>
      <c r="B211">
        <f>M26</f>
        <v/>
      </c>
    </row>
    <row r="212">
      <c r="A212" t="inlineStr">
        <is>
          <t>Interpretation:</t>
        </is>
      </c>
      <c r="B212" t="inlineStr">
        <is>
          <t>No significant gender difference in acceptance of carrier marriage</t>
        </is>
      </c>
    </row>
    <row r="222">
      <c r="A222" s="34" t="inlineStr">
        <is>
          <t>ANALYSIS 8: Family History vs Q19 (Lifelong treatment required)</t>
        </is>
      </c>
    </row>
    <row r="224">
      <c r="A224" s="2" t="inlineStr">
        <is>
          <t>OBSERVED FREQUENCIES</t>
        </is>
      </c>
    </row>
    <row r="225">
      <c r="A225" s="7" t="n"/>
      <c r="B225" s="7" t="inlineStr">
        <is>
          <t>Yes</t>
        </is>
      </c>
      <c r="C225" s="7" t="inlineStr">
        <is>
          <t>No</t>
        </is>
      </c>
      <c r="D225" s="7" t="inlineStr">
        <is>
          <t>Row Total</t>
        </is>
      </c>
    </row>
    <row r="226">
      <c r="A226" t="inlineStr">
        <is>
          <t>Family History Yes</t>
        </is>
      </c>
      <c r="B226" t="n">
        <v>23</v>
      </c>
      <c r="C226" t="n">
        <v>16</v>
      </c>
      <c r="D226" t="n">
        <v>39</v>
      </c>
    </row>
    <row r="227">
      <c r="A227" t="inlineStr">
        <is>
          <t>Family History No</t>
        </is>
      </c>
      <c r="B227" t="n">
        <v>105</v>
      </c>
      <c r="C227" t="n">
        <v>53</v>
      </c>
      <c r="D227" t="n">
        <v>158</v>
      </c>
    </row>
    <row r="228">
      <c r="A228" t="inlineStr">
        <is>
          <t>Column Total</t>
        </is>
      </c>
      <c r="B228" t="n">
        <v>128</v>
      </c>
      <c r="C228" t="n">
        <v>69</v>
      </c>
      <c r="D228" t="n">
        <v>197</v>
      </c>
    </row>
    <row r="231">
      <c r="A231" s="2" t="inlineStr">
        <is>
          <t>STATISTICAL RESULTS</t>
        </is>
      </c>
    </row>
    <row r="232">
      <c r="A232" t="inlineStr">
        <is>
          <t>Odds Ratio (OR):</t>
        </is>
      </c>
      <c r="B232">
        <f>I27</f>
        <v/>
      </c>
    </row>
    <row r="233">
      <c r="A233" t="inlineStr">
        <is>
          <t>95% CI Lower:</t>
        </is>
      </c>
      <c r="B233">
        <f>J27</f>
        <v/>
      </c>
    </row>
    <row r="234">
      <c r="A234" t="inlineStr">
        <is>
          <t>95% CI Upper:</t>
        </is>
      </c>
      <c r="B234">
        <f>K27</f>
        <v/>
      </c>
    </row>
    <row r="235">
      <c r="A235" t="inlineStr">
        <is>
          <t>Fisher's Exact P-value:</t>
        </is>
      </c>
      <c r="B235">
        <f>L27</f>
        <v/>
      </c>
    </row>
    <row r="236">
      <c r="A236" t="inlineStr">
        <is>
          <t>Significant at α=0.05?</t>
        </is>
      </c>
      <c r="B236">
        <f>M27</f>
        <v/>
      </c>
    </row>
    <row r="237">
      <c r="A237" t="inlineStr">
        <is>
          <t>Interpretation:</t>
        </is>
      </c>
      <c r="B237" t="inlineStr">
        <is>
          <t>Family history does not significantly affect treatment knowledge</t>
        </is>
      </c>
    </row>
    <row r="247">
      <c r="A247" s="34" t="inlineStr">
        <is>
          <t>ANALYSIS 9: Marital Status vs Q31 (Accept carrier marriage)</t>
        </is>
      </c>
    </row>
    <row r="249">
      <c r="A249" s="2" t="inlineStr">
        <is>
          <t>OBSERVED FREQUENCIES</t>
        </is>
      </c>
    </row>
    <row r="250">
      <c r="A250" s="7" t="n"/>
      <c r="B250" s="7" t="inlineStr">
        <is>
          <t>Yes</t>
        </is>
      </c>
      <c r="C250" s="7" t="inlineStr">
        <is>
          <t>No</t>
        </is>
      </c>
      <c r="D250" s="7" t="inlineStr">
        <is>
          <t>Row Total</t>
        </is>
      </c>
    </row>
    <row r="251">
      <c r="A251" t="inlineStr">
        <is>
          <t>Single</t>
        </is>
      </c>
      <c r="B251" t="n">
        <v>4</v>
      </c>
      <c r="C251" t="n">
        <v>125</v>
      </c>
      <c r="D251" t="n">
        <v>129</v>
      </c>
    </row>
    <row r="252">
      <c r="A252" t="inlineStr">
        <is>
          <t>Married</t>
        </is>
      </c>
      <c r="B252" t="n">
        <v>6</v>
      </c>
      <c r="C252" t="n">
        <v>63</v>
      </c>
      <c r="D252" t="n">
        <v>69</v>
      </c>
    </row>
    <row r="253">
      <c r="A253" t="inlineStr">
        <is>
          <t>Column Total</t>
        </is>
      </c>
      <c r="B253" t="n">
        <v>10</v>
      </c>
      <c r="C253" t="n">
        <v>188</v>
      </c>
      <c r="D253" t="n">
        <v>198</v>
      </c>
    </row>
    <row r="256">
      <c r="A256" s="2" t="inlineStr">
        <is>
          <t>STATISTICAL RESULTS</t>
        </is>
      </c>
    </row>
    <row r="257">
      <c r="A257" t="inlineStr">
        <is>
          <t>Odds Ratio (OR):</t>
        </is>
      </c>
      <c r="B257">
        <f>I28</f>
        <v/>
      </c>
    </row>
    <row r="258">
      <c r="A258" t="inlineStr">
        <is>
          <t>95% CI Lower:</t>
        </is>
      </c>
      <c r="B258">
        <f>J28</f>
        <v/>
      </c>
    </row>
    <row r="259">
      <c r="A259" t="inlineStr">
        <is>
          <t>95% CI Upper:</t>
        </is>
      </c>
      <c r="B259">
        <f>K28</f>
        <v/>
      </c>
    </row>
    <row r="260">
      <c r="A260" t="inlineStr">
        <is>
          <t>Fisher's Exact P-value:</t>
        </is>
      </c>
      <c r="B260">
        <f>L28</f>
        <v/>
      </c>
    </row>
    <row r="261">
      <c r="A261" t="inlineStr">
        <is>
          <t>Significant at α=0.05?</t>
        </is>
      </c>
      <c r="B261">
        <f>M28</f>
        <v/>
      </c>
    </row>
    <row r="262">
      <c r="A262" t="inlineStr">
        <is>
          <t>Interpretation:</t>
        </is>
      </c>
      <c r="B262" t="inlineStr">
        <is>
          <t>Marital status does not significantly affect carrier marriage acceptance</t>
        </is>
      </c>
    </row>
    <row r="272">
      <c r="A272" s="34" t="inlineStr">
        <is>
          <t>ANALYSIS 10: Gender vs Q15 (Thalassemia is blood disease)</t>
        </is>
      </c>
    </row>
    <row r="274">
      <c r="A274" s="2" t="inlineStr">
        <is>
          <t>OBSERVED FREQUENCIES</t>
        </is>
      </c>
    </row>
    <row r="275">
      <c r="A275" s="7" t="n"/>
      <c r="B275" s="7" t="inlineStr">
        <is>
          <t>Yes</t>
        </is>
      </c>
      <c r="C275" s="7" t="inlineStr">
        <is>
          <t>No</t>
        </is>
      </c>
      <c r="D275" s="7" t="inlineStr">
        <is>
          <t>Row Total</t>
        </is>
      </c>
    </row>
    <row r="276">
      <c r="A276" t="inlineStr">
        <is>
          <t>Female</t>
        </is>
      </c>
      <c r="B276" t="n">
        <v>102</v>
      </c>
      <c r="C276" t="n">
        <v>3</v>
      </c>
      <c r="D276" t="n">
        <v>105</v>
      </c>
    </row>
    <row r="277">
      <c r="A277" t="inlineStr">
        <is>
          <t>Male</t>
        </is>
      </c>
      <c r="B277" t="n">
        <v>78</v>
      </c>
      <c r="C277" t="n">
        <v>1</v>
      </c>
      <c r="D277" t="n">
        <v>79</v>
      </c>
    </row>
    <row r="278">
      <c r="A278" t="inlineStr">
        <is>
          <t>Column Total</t>
        </is>
      </c>
      <c r="B278" t="n">
        <v>180</v>
      </c>
      <c r="C278" t="n">
        <v>4</v>
      </c>
      <c r="D278" t="n">
        <v>184</v>
      </c>
    </row>
    <row r="281">
      <c r="A281" s="2" t="inlineStr">
        <is>
          <t>STATISTICAL RESULTS</t>
        </is>
      </c>
    </row>
    <row r="282">
      <c r="A282" t="inlineStr">
        <is>
          <t>Odds Ratio (OR):</t>
        </is>
      </c>
      <c r="B282">
        <f>I29</f>
        <v/>
      </c>
    </row>
    <row r="283">
      <c r="A283" t="inlineStr">
        <is>
          <t>95% CI Lower:</t>
        </is>
      </c>
      <c r="B283">
        <f>J29</f>
        <v/>
      </c>
    </row>
    <row r="284">
      <c r="A284" t="inlineStr">
        <is>
          <t>95% CI Upper:</t>
        </is>
      </c>
      <c r="B284">
        <f>K29</f>
        <v/>
      </c>
    </row>
    <row r="285">
      <c r="A285" t="inlineStr">
        <is>
          <t>Fisher's Exact P-value:</t>
        </is>
      </c>
      <c r="B285">
        <f>L29</f>
        <v/>
      </c>
    </row>
    <row r="286">
      <c r="A286" t="inlineStr">
        <is>
          <t>Significant at α=0.05?</t>
        </is>
      </c>
      <c r="B286">
        <f>M29</f>
        <v/>
      </c>
    </row>
    <row r="287">
      <c r="A287" t="inlineStr">
        <is>
          <t>Interpretation:</t>
        </is>
      </c>
      <c r="B287" t="inlineStr">
        <is>
          <t>No significant gender difference in basic disease knowledge</t>
        </is>
      </c>
    </row>
    <row r="292">
      <c r="A292" s="34" t="inlineStr">
        <is>
          <t>ANALYSIS 11: Family History vs Q21 (Can thalassemia be prevented)</t>
        </is>
      </c>
    </row>
    <row r="294">
      <c r="A294" s="2" t="inlineStr">
        <is>
          <t>OBSERVED FREQUENCIES</t>
        </is>
      </c>
    </row>
    <row r="295">
      <c r="A295" s="7" t="n"/>
      <c r="B295" s="7" t="inlineStr">
        <is>
          <t>Can prevent</t>
        </is>
      </c>
      <c r="C295" s="7" t="inlineStr">
        <is>
          <t>Cannot prevent</t>
        </is>
      </c>
      <c r="D295" s="7" t="inlineStr">
        <is>
          <t>Row Total</t>
        </is>
      </c>
    </row>
    <row r="296">
      <c r="A296" t="inlineStr">
        <is>
          <t>Family History Yes</t>
        </is>
      </c>
      <c r="B296" t="n">
        <v>31</v>
      </c>
      <c r="C296" t="n">
        <v>3</v>
      </c>
      <c r="D296" t="n">
        <v>34</v>
      </c>
    </row>
    <row r="297">
      <c r="A297" t="inlineStr">
        <is>
          <t>Family History No</t>
        </is>
      </c>
      <c r="B297" t="n">
        <v>99</v>
      </c>
      <c r="C297" t="n">
        <v>7</v>
      </c>
      <c r="D297" t="n">
        <v>106</v>
      </c>
    </row>
    <row r="298">
      <c r="A298" t="inlineStr">
        <is>
          <t>Column Total</t>
        </is>
      </c>
      <c r="B298" t="n">
        <v>130</v>
      </c>
      <c r="C298" t="n">
        <v>10</v>
      </c>
      <c r="D298" t="n">
        <v>140</v>
      </c>
    </row>
    <row r="301">
      <c r="A301" s="2" t="inlineStr">
        <is>
          <t>STATISTICAL RESULTS</t>
        </is>
      </c>
    </row>
    <row r="302">
      <c r="A302" t="inlineStr">
        <is>
          <t>Odds Ratio (OR):</t>
        </is>
      </c>
      <c r="B302">
        <f>I30</f>
        <v/>
      </c>
    </row>
    <row r="303">
      <c r="A303" t="inlineStr">
        <is>
          <t>95% CI Lower:</t>
        </is>
      </c>
      <c r="B303">
        <f>J30</f>
        <v/>
      </c>
    </row>
    <row r="304">
      <c r="A304" t="inlineStr">
        <is>
          <t>95% CI Upper:</t>
        </is>
      </c>
      <c r="B304">
        <f>K30</f>
        <v/>
      </c>
    </row>
    <row r="305">
      <c r="A305" t="inlineStr">
        <is>
          <t>Fisher's Exact P-value:</t>
        </is>
      </c>
      <c r="B305">
        <f>L30</f>
        <v/>
      </c>
    </row>
    <row r="306">
      <c r="A306" t="inlineStr">
        <is>
          <t>Significant at α=0.05?</t>
        </is>
      </c>
      <c r="B306">
        <f>M30</f>
        <v/>
      </c>
    </row>
    <row r="307">
      <c r="A307" t="inlineStr">
        <is>
          <t>Interpretation:</t>
        </is>
      </c>
      <c r="B307" t="inlineStr">
        <is>
          <t>No significant difference based on family history</t>
        </is>
      </c>
    </row>
    <row r="312">
      <c r="A312" s="34" t="inlineStr">
        <is>
          <t>ANALYSIS 12: Marital Status vs Q21 (Can thalassemia be prevented)</t>
        </is>
      </c>
    </row>
    <row r="314">
      <c r="A314" s="2" t="inlineStr">
        <is>
          <t>OBSERVED FREQUENCIES</t>
        </is>
      </c>
    </row>
    <row r="315">
      <c r="A315" s="7" t="n"/>
      <c r="B315" s="7" t="inlineStr">
        <is>
          <t>Can prevent</t>
        </is>
      </c>
      <c r="C315" s="7" t="inlineStr">
        <is>
          <t>Cannot prevent</t>
        </is>
      </c>
      <c r="D315" s="7" t="inlineStr">
        <is>
          <t>Row Total</t>
        </is>
      </c>
    </row>
    <row r="316">
      <c r="A316" t="inlineStr">
        <is>
          <t>Single</t>
        </is>
      </c>
      <c r="B316" t="n">
        <v>103</v>
      </c>
      <c r="C316" t="n">
        <v>8</v>
      </c>
      <c r="D316" t="n">
        <v>111</v>
      </c>
    </row>
    <row r="317">
      <c r="A317" t="inlineStr">
        <is>
          <t>Married</t>
        </is>
      </c>
      <c r="B317" t="n">
        <v>48</v>
      </c>
      <c r="C317" t="n">
        <v>2</v>
      </c>
      <c r="D317" t="n">
        <v>50</v>
      </c>
    </row>
    <row r="318">
      <c r="A318" t="inlineStr">
        <is>
          <t>Column Total</t>
        </is>
      </c>
      <c r="B318" t="n">
        <v>151</v>
      </c>
      <c r="C318" t="n">
        <v>10</v>
      </c>
      <c r="D318" t="n">
        <v>161</v>
      </c>
    </row>
    <row r="321">
      <c r="A321" s="2" t="inlineStr">
        <is>
          <t>STATISTICAL RESULTS</t>
        </is>
      </c>
    </row>
    <row r="322">
      <c r="A322" t="inlineStr">
        <is>
          <t>Odds Ratio (OR):</t>
        </is>
      </c>
      <c r="B322">
        <f>I31</f>
        <v/>
      </c>
    </row>
    <row r="323">
      <c r="A323" t="inlineStr">
        <is>
          <t>95% CI Lower:</t>
        </is>
      </c>
      <c r="B323">
        <f>J31</f>
        <v/>
      </c>
    </row>
    <row r="324">
      <c r="A324" t="inlineStr">
        <is>
          <t>95% CI Upper:</t>
        </is>
      </c>
      <c r="B324">
        <f>K31</f>
        <v/>
      </c>
    </row>
    <row r="325">
      <c r="A325" t="inlineStr">
        <is>
          <t>Fisher's Exact P-value:</t>
        </is>
      </c>
      <c r="B325">
        <f>L31</f>
        <v/>
      </c>
    </row>
    <row r="326">
      <c r="A326" t="inlineStr">
        <is>
          <t>Significant at α=0.05?</t>
        </is>
      </c>
      <c r="B326">
        <f>M31</f>
        <v/>
      </c>
    </row>
    <row r="327">
      <c r="A327" t="inlineStr">
        <is>
          <t>Interpretation:</t>
        </is>
      </c>
      <c r="B327" t="inlineStr">
        <is>
          <t>No significant difference based on marital status</t>
        </is>
      </c>
    </row>
    <row r="332">
      <c r="A332" s="34" t="inlineStr">
        <is>
          <t>ANALYSIS 13: Gender vs Q35 (Family screening important)</t>
        </is>
      </c>
    </row>
    <row r="334">
      <c r="A334" s="2" t="inlineStr">
        <is>
          <t>OBSERVED FREQUENCIES</t>
        </is>
      </c>
    </row>
    <row r="335">
      <c r="A335" s="7" t="n"/>
      <c r="B335" s="7" t="inlineStr">
        <is>
          <t>Agree</t>
        </is>
      </c>
      <c r="C335" s="7" t="inlineStr">
        <is>
          <t>Disagree</t>
        </is>
      </c>
      <c r="D335" s="7" t="inlineStr">
        <is>
          <t>Row Total</t>
        </is>
      </c>
    </row>
    <row r="336">
      <c r="A336" t="inlineStr">
        <is>
          <t>Female</t>
        </is>
      </c>
      <c r="B336" t="n">
        <v>109</v>
      </c>
      <c r="C336" t="n">
        <v>2</v>
      </c>
      <c r="D336" t="n">
        <v>111</v>
      </c>
    </row>
    <row r="337">
      <c r="A337" t="inlineStr">
        <is>
          <t>Male</t>
        </is>
      </c>
      <c r="B337" t="n">
        <v>81</v>
      </c>
      <c r="C337" t="n">
        <v>2</v>
      </c>
      <c r="D337" t="n">
        <v>83</v>
      </c>
    </row>
    <row r="338">
      <c r="A338" t="inlineStr">
        <is>
          <t>Column Total</t>
        </is>
      </c>
      <c r="B338" t="n">
        <v>190</v>
      </c>
      <c r="C338" t="n">
        <v>4</v>
      </c>
      <c r="D338" t="n">
        <v>194</v>
      </c>
    </row>
    <row r="341">
      <c r="A341" s="2" t="inlineStr">
        <is>
          <t>STATISTICAL RESULTS</t>
        </is>
      </c>
    </row>
    <row r="342">
      <c r="A342" t="inlineStr">
        <is>
          <t>Odds Ratio (OR):</t>
        </is>
      </c>
      <c r="B342">
        <f>I32</f>
        <v/>
      </c>
    </row>
    <row r="343">
      <c r="A343" t="inlineStr">
        <is>
          <t>95% CI Lower:</t>
        </is>
      </c>
      <c r="B343">
        <f>J32</f>
        <v/>
      </c>
    </row>
    <row r="344">
      <c r="A344" t="inlineStr">
        <is>
          <t>95% CI Upper:</t>
        </is>
      </c>
      <c r="B344">
        <f>K32</f>
        <v/>
      </c>
    </row>
    <row r="345">
      <c r="A345" t="inlineStr">
        <is>
          <t>Fisher's Exact P-value:</t>
        </is>
      </c>
      <c r="B345">
        <f>L32</f>
        <v/>
      </c>
    </row>
    <row r="346">
      <c r="A346" t="inlineStr">
        <is>
          <t>Significant at α=0.05?</t>
        </is>
      </c>
      <c r="B346">
        <f>M32</f>
        <v/>
      </c>
    </row>
    <row r="347">
      <c r="A347" t="inlineStr">
        <is>
          <t>Interpretation:</t>
        </is>
      </c>
      <c r="B347" t="inlineStr">
        <is>
          <t>No significant gender difference in screening attitudes</t>
        </is>
      </c>
    </row>
    <row r="352">
      <c r="A352" s="34" t="inlineStr">
        <is>
          <t>ANALYSIS 14: Family History vs Q35 (Family screening important)</t>
        </is>
      </c>
    </row>
    <row r="354">
      <c r="A354" s="2" t="inlineStr">
        <is>
          <t>OBSERVED FREQUENCIES</t>
        </is>
      </c>
    </row>
    <row r="355">
      <c r="A355" s="7" t="n"/>
      <c r="B355" s="7" t="inlineStr">
        <is>
          <t>Agree</t>
        </is>
      </c>
      <c r="C355" s="7" t="inlineStr">
        <is>
          <t>Disagree</t>
        </is>
      </c>
      <c r="D355" s="7" t="inlineStr">
        <is>
          <t>Row Total</t>
        </is>
      </c>
    </row>
    <row r="356">
      <c r="A356" t="inlineStr">
        <is>
          <t>Family History Yes</t>
        </is>
      </c>
      <c r="B356" t="n">
        <v>37</v>
      </c>
      <c r="C356" t="n">
        <v>1</v>
      </c>
      <c r="D356" t="n">
        <v>38</v>
      </c>
    </row>
    <row r="357">
      <c r="A357" t="inlineStr">
        <is>
          <t>Family History No</t>
        </is>
      </c>
      <c r="B357" t="n">
        <v>130</v>
      </c>
      <c r="C357" t="n">
        <v>2</v>
      </c>
      <c r="D357" t="n">
        <v>132</v>
      </c>
    </row>
    <row r="358">
      <c r="A358" t="inlineStr">
        <is>
          <t>Column Total</t>
        </is>
      </c>
      <c r="B358" t="n">
        <v>167</v>
      </c>
      <c r="C358" t="n">
        <v>3</v>
      </c>
      <c r="D358" t="n">
        <v>170</v>
      </c>
    </row>
    <row r="361">
      <c r="A361" s="2" t="inlineStr">
        <is>
          <t>STATISTICAL RESULTS</t>
        </is>
      </c>
    </row>
    <row r="362">
      <c r="A362" t="inlineStr">
        <is>
          <t>Odds Ratio (OR):</t>
        </is>
      </c>
      <c r="B362">
        <f>I33</f>
        <v/>
      </c>
    </row>
    <row r="363">
      <c r="A363" t="inlineStr">
        <is>
          <t>95% CI Lower:</t>
        </is>
      </c>
      <c r="B363">
        <f>J33</f>
        <v/>
      </c>
    </row>
    <row r="364">
      <c r="A364" t="inlineStr">
        <is>
          <t>95% CI Upper:</t>
        </is>
      </c>
      <c r="B364">
        <f>K33</f>
        <v/>
      </c>
    </row>
    <row r="365">
      <c r="A365" t="inlineStr">
        <is>
          <t>Fisher's Exact P-value:</t>
        </is>
      </c>
      <c r="B365">
        <f>L33</f>
        <v/>
      </c>
    </row>
    <row r="366">
      <c r="A366" t="inlineStr">
        <is>
          <t>Significant at α=0.05?</t>
        </is>
      </c>
      <c r="B366">
        <f>M33</f>
        <v/>
      </c>
    </row>
    <row r="367">
      <c r="A367" t="inlineStr">
        <is>
          <t>Interpretation:</t>
        </is>
      </c>
      <c r="B367" t="inlineStr">
        <is>
          <t>Family history does not significantly affect screening attitudes</t>
        </is>
      </c>
    </row>
    <row r="372">
      <c r="A372" s="34" t="inlineStr">
        <is>
          <t>ANALYSIS 15: Gender vs Q19 (Lifelong treatment required)</t>
        </is>
      </c>
    </row>
    <row r="374">
      <c r="A374" s="2" t="inlineStr">
        <is>
          <t>OBSERVED FREQUENCIES</t>
        </is>
      </c>
    </row>
    <row r="375">
      <c r="A375" s="7" t="n"/>
      <c r="B375" s="7" t="inlineStr">
        <is>
          <t>Yes</t>
        </is>
      </c>
      <c r="C375" s="7" t="inlineStr">
        <is>
          <t>No</t>
        </is>
      </c>
      <c r="D375" s="7" t="inlineStr">
        <is>
          <t>Row Total</t>
        </is>
      </c>
    </row>
    <row r="376">
      <c r="A376" t="inlineStr">
        <is>
          <t>Female</t>
        </is>
      </c>
      <c r="B376" t="n">
        <v>83</v>
      </c>
      <c r="C376" t="n">
        <v>4</v>
      </c>
      <c r="D376" t="n">
        <v>87</v>
      </c>
    </row>
    <row r="377">
      <c r="A377" t="inlineStr">
        <is>
          <t>Male</t>
        </is>
      </c>
      <c r="B377" t="n">
        <v>46</v>
      </c>
      <c r="C377" t="n">
        <v>7</v>
      </c>
      <c r="D377" t="n">
        <v>53</v>
      </c>
    </row>
    <row r="378">
      <c r="A378" t="inlineStr">
        <is>
          <t>Column Total</t>
        </is>
      </c>
      <c r="B378" t="n">
        <v>129</v>
      </c>
      <c r="C378" t="n">
        <v>11</v>
      </c>
      <c r="D378" t="n">
        <v>140</v>
      </c>
    </row>
    <row r="381">
      <c r="A381" s="2" t="inlineStr">
        <is>
          <t>STATISTICAL RESULTS</t>
        </is>
      </c>
    </row>
    <row r="382">
      <c r="A382" t="inlineStr">
        <is>
          <t>Odds Ratio (OR):</t>
        </is>
      </c>
      <c r="B382">
        <f>I34</f>
        <v/>
      </c>
    </row>
    <row r="383">
      <c r="A383" t="inlineStr">
        <is>
          <t>95% CI Lower:</t>
        </is>
      </c>
      <c r="B383">
        <f>J34</f>
        <v/>
      </c>
    </row>
    <row r="384">
      <c r="A384" t="inlineStr">
        <is>
          <t>95% CI Upper:</t>
        </is>
      </c>
      <c r="B384">
        <f>K34</f>
        <v/>
      </c>
    </row>
    <row r="385">
      <c r="A385" t="inlineStr">
        <is>
          <t>Fisher's Exact P-value:</t>
        </is>
      </c>
      <c r="B385">
        <f>L34</f>
        <v/>
      </c>
    </row>
    <row r="386">
      <c r="A386" t="inlineStr">
        <is>
          <t>Significant at α=0.05?</t>
        </is>
      </c>
      <c r="B386">
        <f>M34</f>
        <v/>
      </c>
    </row>
    <row r="387">
      <c r="A387" t="inlineStr">
        <is>
          <t>Interpretation:</t>
        </is>
      </c>
      <c r="B387" t="inlineStr">
        <is>
          <t>Gender may influence treatment knowledge (borderline)</t>
        </is>
      </c>
    </row>
    <row r="392">
      <c r="A392" s="34" t="inlineStr">
        <is>
          <t>ANALYSIS 16: Family History vs Q15 (Thalassemia is blood disease)</t>
        </is>
      </c>
    </row>
    <row r="394">
      <c r="A394" s="2" t="inlineStr">
        <is>
          <t>OBSERVED FREQUENCIES</t>
        </is>
      </c>
    </row>
    <row r="395">
      <c r="A395" s="7" t="n"/>
      <c r="B395" s="7" t="inlineStr">
        <is>
          <t>Yes</t>
        </is>
      </c>
      <c r="C395" s="7" t="inlineStr">
        <is>
          <t>No</t>
        </is>
      </c>
      <c r="D395" s="7" t="inlineStr">
        <is>
          <t>Row Total</t>
        </is>
      </c>
    </row>
    <row r="396">
      <c r="A396" t="inlineStr">
        <is>
          <t>Family History Yes</t>
        </is>
      </c>
      <c r="B396" t="n">
        <v>35</v>
      </c>
      <c r="C396" t="n">
        <v>1</v>
      </c>
      <c r="D396" t="n">
        <v>36</v>
      </c>
    </row>
    <row r="397">
      <c r="A397" t="inlineStr">
        <is>
          <t>Family History No</t>
        </is>
      </c>
      <c r="B397" t="n">
        <v>123</v>
      </c>
      <c r="C397" t="n">
        <v>4</v>
      </c>
      <c r="D397" t="n">
        <v>127</v>
      </c>
    </row>
    <row r="398">
      <c r="A398" t="inlineStr">
        <is>
          <t>Column Total</t>
        </is>
      </c>
      <c r="B398" t="n">
        <v>158</v>
      </c>
      <c r="C398" t="n">
        <v>5</v>
      </c>
      <c r="D398" t="n">
        <v>163</v>
      </c>
    </row>
    <row r="401">
      <c r="A401" s="2" t="inlineStr">
        <is>
          <t>STATISTICAL RESULTS</t>
        </is>
      </c>
    </row>
    <row r="402">
      <c r="A402" t="inlineStr">
        <is>
          <t>Odds Ratio (OR):</t>
        </is>
      </c>
      <c r="B402">
        <f>I35</f>
        <v/>
      </c>
    </row>
    <row r="403">
      <c r="A403" t="inlineStr">
        <is>
          <t>95% CI Lower:</t>
        </is>
      </c>
      <c r="B403">
        <f>J35</f>
        <v/>
      </c>
    </row>
    <row r="404">
      <c r="A404" t="inlineStr">
        <is>
          <t>95% CI Upper:</t>
        </is>
      </c>
      <c r="B404">
        <f>K35</f>
        <v/>
      </c>
    </row>
    <row r="405">
      <c r="A405" t="inlineStr">
        <is>
          <t>Fisher's Exact P-value:</t>
        </is>
      </c>
      <c r="B405">
        <f>L35</f>
        <v/>
      </c>
    </row>
    <row r="406">
      <c r="A406" t="inlineStr">
        <is>
          <t>Significant at α=0.05?</t>
        </is>
      </c>
      <c r="B406">
        <f>M35</f>
        <v/>
      </c>
    </row>
    <row r="407">
      <c r="A407" t="inlineStr">
        <is>
          <t>Interpretation:</t>
        </is>
      </c>
      <c r="B407" t="inlineStr">
        <is>
          <t>Family history may influence basic knowledge (small cell)</t>
        </is>
      </c>
    </row>
    <row r="412">
      <c r="A412" s="34" t="inlineStr">
        <is>
          <t>ANALYSIS 17: Marital Status vs Q15 (Blood disease)</t>
        </is>
      </c>
    </row>
    <row r="414">
      <c r="A414" s="2" t="inlineStr">
        <is>
          <t>OBSERVED FREQUENCIES</t>
        </is>
      </c>
    </row>
    <row r="415">
      <c r="A415" s="7" t="n"/>
      <c r="B415" s="7" t="inlineStr">
        <is>
          <t>Yes</t>
        </is>
      </c>
      <c r="C415" s="7" t="inlineStr">
        <is>
          <t>No</t>
        </is>
      </c>
      <c r="D415" s="7" t="inlineStr">
        <is>
          <t>Row Total</t>
        </is>
      </c>
    </row>
    <row r="416">
      <c r="A416" t="inlineStr">
        <is>
          <t>Single</t>
        </is>
      </c>
      <c r="B416" t="n">
        <v>117</v>
      </c>
      <c r="C416" t="n">
        <v>3</v>
      </c>
      <c r="D416" t="n">
        <v>120</v>
      </c>
    </row>
    <row r="417">
      <c r="A417" t="inlineStr">
        <is>
          <t>Married</t>
        </is>
      </c>
      <c r="B417" t="n">
        <v>62</v>
      </c>
      <c r="C417" t="n">
        <v>1</v>
      </c>
      <c r="D417" t="n">
        <v>63</v>
      </c>
    </row>
    <row r="418">
      <c r="A418" t="inlineStr">
        <is>
          <t>Column Total</t>
        </is>
      </c>
      <c r="B418" t="n">
        <v>179</v>
      </c>
      <c r="C418" t="n">
        <v>4</v>
      </c>
      <c r="D418" t="n">
        <v>183</v>
      </c>
    </row>
    <row r="421">
      <c r="A421" s="2" t="inlineStr">
        <is>
          <t>STATISTICAL RESULTS</t>
        </is>
      </c>
    </row>
    <row r="422">
      <c r="A422" t="inlineStr">
        <is>
          <t>Odds Ratio (OR):</t>
        </is>
      </c>
      <c r="B422">
        <f>I36</f>
        <v/>
      </c>
    </row>
    <row r="423">
      <c r="A423" t="inlineStr">
        <is>
          <t>95% CI Lower:</t>
        </is>
      </c>
      <c r="B423">
        <f>J36</f>
        <v/>
      </c>
    </row>
    <row r="424">
      <c r="A424" t="inlineStr">
        <is>
          <t>95% CI Upper:</t>
        </is>
      </c>
      <c r="B424">
        <f>K36</f>
        <v/>
      </c>
    </row>
    <row r="425">
      <c r="A425" t="inlineStr">
        <is>
          <t>Fisher's Exact P-value:</t>
        </is>
      </c>
      <c r="B425">
        <f>L36</f>
        <v/>
      </c>
    </row>
    <row r="426">
      <c r="A426" t="inlineStr">
        <is>
          <t>Significant at α=0.05?</t>
        </is>
      </c>
      <c r="B426">
        <f>M36</f>
        <v/>
      </c>
    </row>
    <row r="427">
      <c r="A427" t="inlineStr">
        <is>
          <t>Interpretation:</t>
        </is>
      </c>
      <c r="B427" t="inlineStr">
        <is>
          <t>No significant marital status difference in basic knowledge</t>
        </is>
      </c>
    </row>
    <row r="432">
      <c r="A432" s="34" t="inlineStr">
        <is>
          <t>ANALYSIS 18: Marital Status vs Q35 (Family screening important)</t>
        </is>
      </c>
    </row>
    <row r="434">
      <c r="A434" s="2" t="inlineStr">
        <is>
          <t>OBSERVED FREQUENCIES</t>
        </is>
      </c>
    </row>
    <row r="435">
      <c r="A435" s="7" t="n"/>
      <c r="B435" s="7" t="inlineStr">
        <is>
          <t>Agree</t>
        </is>
      </c>
      <c r="C435" s="7" t="inlineStr">
        <is>
          <t>Disagree</t>
        </is>
      </c>
      <c r="D435" s="7" t="inlineStr">
        <is>
          <t>Row Total</t>
        </is>
      </c>
    </row>
    <row r="436">
      <c r="A436" t="inlineStr">
        <is>
          <t>Single</t>
        </is>
      </c>
      <c r="B436" t="n">
        <v>126</v>
      </c>
      <c r="C436" t="n">
        <v>2</v>
      </c>
      <c r="D436" t="n">
        <v>128</v>
      </c>
    </row>
    <row r="437">
      <c r="A437" t="inlineStr">
        <is>
          <t>Married</t>
        </is>
      </c>
      <c r="B437" t="n">
        <v>64</v>
      </c>
      <c r="C437" t="n">
        <v>2</v>
      </c>
      <c r="D437" t="n">
        <v>66</v>
      </c>
    </row>
    <row r="438">
      <c r="A438" t="inlineStr">
        <is>
          <t>Column Total</t>
        </is>
      </c>
      <c r="B438" t="n">
        <v>190</v>
      </c>
      <c r="C438" t="n">
        <v>4</v>
      </c>
      <c r="D438" t="n">
        <v>194</v>
      </c>
    </row>
    <row r="441">
      <c r="A441" s="2" t="inlineStr">
        <is>
          <t>STATISTICAL RESULTS</t>
        </is>
      </c>
    </row>
    <row r="442">
      <c r="A442" t="inlineStr">
        <is>
          <t>Odds Ratio (OR):</t>
        </is>
      </c>
      <c r="B442">
        <f>I37</f>
        <v/>
      </c>
    </row>
    <row r="443">
      <c r="A443" t="inlineStr">
        <is>
          <t>95% CI Lower:</t>
        </is>
      </c>
      <c r="B443">
        <f>J37</f>
        <v/>
      </c>
    </row>
    <row r="444">
      <c r="A444" t="inlineStr">
        <is>
          <t>95% CI Upper:</t>
        </is>
      </c>
      <c r="B444">
        <f>K37</f>
        <v/>
      </c>
    </row>
    <row r="445">
      <c r="A445" t="inlineStr">
        <is>
          <t>Fisher's Exact P-value:</t>
        </is>
      </c>
      <c r="B445">
        <f>L37</f>
        <v/>
      </c>
    </row>
    <row r="446">
      <c r="A446" t="inlineStr">
        <is>
          <t>Significant at α=0.05?</t>
        </is>
      </c>
      <c r="B446">
        <f>M37</f>
        <v/>
      </c>
    </row>
    <row r="447">
      <c r="A447" t="inlineStr">
        <is>
          <t>Interpretation:</t>
        </is>
      </c>
      <c r="B447" t="inlineStr">
        <is>
          <t>No significant marital status difference in screening attitudes</t>
        </is>
      </c>
    </row>
    <row r="452">
      <c r="A452" s="34" t="inlineStr">
        <is>
          <t>ANALYSIS 19: Family History vs Q25 (Counseling adequate)</t>
        </is>
      </c>
    </row>
    <row r="454">
      <c r="A454" s="2" t="inlineStr">
        <is>
          <t>OBSERVED FREQUENCIES</t>
        </is>
      </c>
    </row>
    <row r="455">
      <c r="A455" s="7" t="n"/>
      <c r="B455" s="7" t="inlineStr">
        <is>
          <t>Yes</t>
        </is>
      </c>
      <c r="C455" s="7" t="inlineStr">
        <is>
          <t>No</t>
        </is>
      </c>
      <c r="D455" s="7" t="inlineStr">
        <is>
          <t>Row Total</t>
        </is>
      </c>
    </row>
    <row r="456">
      <c r="A456" t="inlineStr">
        <is>
          <t>Family History Yes</t>
        </is>
      </c>
      <c r="B456" t="n">
        <v>26</v>
      </c>
      <c r="C456" t="n">
        <v>12</v>
      </c>
      <c r="D456" t="n">
        <v>38</v>
      </c>
    </row>
    <row r="457">
      <c r="A457" t="inlineStr">
        <is>
          <t>Family History No</t>
        </is>
      </c>
      <c r="B457" t="n">
        <v>98</v>
      </c>
      <c r="C457" t="n">
        <v>37</v>
      </c>
      <c r="D457" t="n">
        <v>135</v>
      </c>
    </row>
    <row r="458">
      <c r="A458" t="inlineStr">
        <is>
          <t>Column Total</t>
        </is>
      </c>
      <c r="B458" t="n">
        <v>124</v>
      </c>
      <c r="C458" t="n">
        <v>49</v>
      </c>
      <c r="D458" t="n">
        <v>173</v>
      </c>
    </row>
    <row r="461">
      <c r="A461" s="2" t="inlineStr">
        <is>
          <t>STATISTICAL RESULTS</t>
        </is>
      </c>
    </row>
    <row r="462">
      <c r="A462" t="inlineStr">
        <is>
          <t>Odds Ratio (OR):</t>
        </is>
      </c>
      <c r="B462">
        <f>I38</f>
        <v/>
      </c>
    </row>
    <row r="463">
      <c r="A463" t="inlineStr">
        <is>
          <t>95% CI Lower:</t>
        </is>
      </c>
      <c r="B463">
        <f>J38</f>
        <v/>
      </c>
    </row>
    <row r="464">
      <c r="A464" t="inlineStr">
        <is>
          <t>95% CI Upper:</t>
        </is>
      </c>
      <c r="B464">
        <f>K38</f>
        <v/>
      </c>
    </row>
    <row r="465">
      <c r="A465" t="inlineStr">
        <is>
          <t>Fisher's Exact P-value:</t>
        </is>
      </c>
      <c r="B465">
        <f>L38</f>
        <v/>
      </c>
    </row>
    <row r="466">
      <c r="A466" t="inlineStr">
        <is>
          <t>Significant at α=0.05?</t>
        </is>
      </c>
      <c r="B466">
        <f>M38</f>
        <v/>
      </c>
    </row>
    <row r="467">
      <c r="A467" t="inlineStr">
        <is>
          <t>Interpretation:</t>
        </is>
      </c>
      <c r="B467" t="inlineStr">
        <is>
          <t>No significant difference based on family history</t>
        </is>
      </c>
    </row>
    <row r="472">
      <c r="A472" s="34" t="inlineStr">
        <is>
          <t>ANALYSIS 20: Marital Status vs Q19 (Lifelong treatment)</t>
        </is>
      </c>
    </row>
    <row r="474">
      <c r="A474" s="2" t="inlineStr">
        <is>
          <t>OBSERVED FREQUENCIES</t>
        </is>
      </c>
    </row>
    <row r="475">
      <c r="A475" s="7" t="n"/>
      <c r="B475" s="7" t="inlineStr">
        <is>
          <t>Yes</t>
        </is>
      </c>
      <c r="C475" s="7" t="inlineStr">
        <is>
          <t>No</t>
        </is>
      </c>
      <c r="D475" s="7" t="inlineStr">
        <is>
          <t>Row Total</t>
        </is>
      </c>
    </row>
    <row r="476">
      <c r="A476" t="inlineStr">
        <is>
          <t>Single</t>
        </is>
      </c>
      <c r="B476" t="n">
        <v>85</v>
      </c>
      <c r="C476" t="n">
        <v>5</v>
      </c>
      <c r="D476" t="n">
        <v>90</v>
      </c>
    </row>
    <row r="477">
      <c r="A477" t="inlineStr">
        <is>
          <t>Married</t>
        </is>
      </c>
      <c r="B477" t="n">
        <v>43</v>
      </c>
      <c r="C477" t="n">
        <v>6</v>
      </c>
      <c r="D477" t="n">
        <v>49</v>
      </c>
    </row>
    <row r="478">
      <c r="A478" t="inlineStr">
        <is>
          <t>Column Total</t>
        </is>
      </c>
      <c r="B478" t="n">
        <v>128</v>
      </c>
      <c r="C478" t="n">
        <v>11</v>
      </c>
      <c r="D478" t="n">
        <v>139</v>
      </c>
    </row>
    <row r="481">
      <c r="A481" s="2" t="inlineStr">
        <is>
          <t>STATISTICAL RESULTS</t>
        </is>
      </c>
    </row>
    <row r="482">
      <c r="A482" t="inlineStr">
        <is>
          <t>Odds Ratio (OR):</t>
        </is>
      </c>
      <c r="B482">
        <f>I39</f>
        <v/>
      </c>
    </row>
    <row r="483">
      <c r="A483" t="inlineStr">
        <is>
          <t>95% CI Lower:</t>
        </is>
      </c>
      <c r="B483">
        <f>J39</f>
        <v/>
      </c>
    </row>
    <row r="484">
      <c r="A484" t="inlineStr">
        <is>
          <t>95% CI Upper:</t>
        </is>
      </c>
      <c r="B484">
        <f>K39</f>
        <v/>
      </c>
    </row>
    <row r="485">
      <c r="A485" t="inlineStr">
        <is>
          <t>Fisher's Exact P-value:</t>
        </is>
      </c>
      <c r="B485">
        <f>L39</f>
        <v/>
      </c>
    </row>
    <row r="486">
      <c r="A486" t="inlineStr">
        <is>
          <t>Significant at α=0.05?</t>
        </is>
      </c>
      <c r="B486">
        <f>M39</f>
        <v/>
      </c>
    </row>
    <row r="487">
      <c r="A487" t="inlineStr">
        <is>
          <t>Interpretation:</t>
        </is>
      </c>
      <c r="B487" t="inlineStr">
        <is>
          <t>Marital status may influence treatment knowledge (borderline)</t>
        </is>
      </c>
    </row>
    <row r="495" ht="18" customHeight="1" s="61">
      <c r="A495" s="33" t="inlineStr">
        <is>
          <t>KEY FINDINGS &amp; INTERPRETATION GUIDE</t>
        </is>
      </c>
    </row>
    <row r="497">
      <c r="A497" s="2" t="inlineStr">
        <is>
          <t>WHEN TO USE FISHER'S EXACT TEST:</t>
        </is>
      </c>
    </row>
    <row r="498">
      <c r="A498" t="inlineStr">
        <is>
          <t>• When any expected cell frequency is less than 5</t>
        </is>
      </c>
    </row>
    <row r="499">
      <c r="A499" t="inlineStr">
        <is>
          <t>• When total sample size is small (n &lt; 20)</t>
        </is>
      </c>
    </row>
    <row r="500">
      <c r="A500" t="inlineStr">
        <is>
          <t>• When you need exact (not approximate) p-values</t>
        </is>
      </c>
    </row>
    <row r="501">
      <c r="A501" t="inlineStr">
        <is>
          <t>• Always valid for 2×2 tables regardless of sample size</t>
        </is>
      </c>
    </row>
    <row r="503">
      <c r="A503" t="inlineStr">
        <is>
          <t>INTERPRETING ODDS RATIO (OR):</t>
        </is>
      </c>
    </row>
    <row r="504">
      <c r="A504" s="2" t="inlineStr">
        <is>
          <t>• OR = 1: No association between variables</t>
        </is>
      </c>
    </row>
    <row r="505">
      <c r="A505" t="inlineStr">
        <is>
          <t>• OR &gt; 1: Positive association (exposure increases odds of outcome)</t>
        </is>
      </c>
    </row>
    <row r="506">
      <c r="A506" t="inlineStr">
        <is>
          <t>• OR &lt; 1: Negative association (exposure decreases odds of outcome)</t>
        </is>
      </c>
    </row>
    <row r="507">
      <c r="A507" t="inlineStr">
        <is>
          <t>• OR = ∞ or undefined: When any cell has zero count</t>
        </is>
      </c>
    </row>
    <row r="509">
      <c r="A509" t="inlineStr">
        <is>
          <t>INTERPRETING 95% CONFIDENCE INTERVAL:</t>
        </is>
      </c>
    </row>
    <row r="510">
      <c r="A510" s="2" t="inlineStr">
        <is>
          <t>• If CI includes 1: Association is NOT statistically significant</t>
        </is>
      </c>
    </row>
    <row r="511">
      <c r="A511" t="inlineStr">
        <is>
          <t>• If CI does NOT include 1: Association IS statistically significant</t>
        </is>
      </c>
    </row>
    <row r="512">
      <c r="A512" t="inlineStr">
        <is>
          <t>• Wider CI = less precision; Narrower CI = more precision</t>
        </is>
      </c>
    </row>
    <row r="514">
      <c r="A514" t="inlineStr">
        <is>
          <t>INTERPRETING P-VALUE:</t>
        </is>
      </c>
    </row>
    <row r="515">
      <c r="A515" s="2" t="inlineStr">
        <is>
          <t>• P &lt; 0.05: Statistically significant association</t>
        </is>
      </c>
    </row>
    <row r="516">
      <c r="A516" t="inlineStr">
        <is>
          <t>• P ≥ 0.05: No statistically significant association</t>
        </is>
      </c>
    </row>
    <row r="517">
      <c r="A517" t="inlineStr">
        <is>
          <t>• Fisher's exact p-value is calculated using hypergeometric distribution</t>
        </is>
      </c>
    </row>
    <row r="520" ht="18" customHeight="1" s="61">
      <c r="A520" s="32" t="inlineStr">
        <is>
          <t>SUMMARY OF FINDINGS</t>
        </is>
      </c>
    </row>
    <row r="522">
      <c r="A522" s="2" t="inlineStr">
        <is>
          <t>Total Analyses Performed:</t>
        </is>
      </c>
      <c r="B522" t="n">
        <v>20</v>
      </c>
    </row>
    <row r="523">
      <c r="A523" s="2" t="inlineStr">
        <is>
          <t>Significant Findings (p &lt; 0.05):</t>
        </is>
      </c>
      <c r="B523">
        <f>COUNTIF(M20:M39,"YES ✓")</f>
        <v/>
      </c>
    </row>
    <row r="524">
      <c r="A524" s="2" t="inlineStr">
        <is>
          <t>Non-Significant Findings:</t>
        </is>
      </c>
      <c r="B524">
        <f>COUNTIF(M20:M39,"NO")</f>
        <v/>
      </c>
    </row>
    <row r="526">
      <c r="A526" s="2" t="inlineStr">
        <is>
          <t>NOTES ON THIS ANALYSIS:</t>
        </is>
      </c>
    </row>
    <row r="527">
      <c r="A527" s="2" t="inlineStr">
        <is>
          <t>1. Fisher's Exact Test is preferred over Chi-square when expected frequencies are small (&lt;5)</t>
        </is>
      </c>
    </row>
    <row r="528">
      <c r="A528" s="2" t="inlineStr">
        <is>
          <t>2. P-values are calculated using the hypergeometric distribution approximation</t>
        </is>
      </c>
    </row>
    <row r="529">
      <c r="A529" s="2" t="inlineStr">
        <is>
          <t>3. Odds Ratios are calculated as (a×d)/(b×c) from the 2×2 table</t>
        </is>
      </c>
    </row>
    <row r="530">
      <c r="A530" s="2" t="inlineStr">
        <is>
          <t>4. 95% Confidence Intervals use the Woolf method (log OR ± 1.96×SE)</t>
        </is>
      </c>
    </row>
    <row r="531">
      <c r="A531" s="2" t="inlineStr">
        <is>
          <t>5. 'Undefined' OR indicates presence of zero cells in the contingency table</t>
        </is>
      </c>
    </row>
    <row r="532">
      <c r="A532" s="2" t="inlineStr">
        <is>
          <t>6. Small cell counts may limit the reliability of some analyses</t>
        </is>
      </c>
    </row>
    <row r="533">
      <c r="A533" s="2" t="inlineStr">
        <is>
          <t>7. Multiple testing correction (e.g., Bonferroni) may be needed for multiple comparisons</t>
        </is>
      </c>
    </row>
    <row r="535" ht="15.6" customHeight="1" s="61">
      <c r="A535" s="35" t="inlineStr">
        <is>
          <t>🔬 STATISTICALLY SIGNIFICANT ASSOCIATIONS FOUND</t>
        </is>
      </c>
    </row>
    <row r="537">
      <c r="A537" s="2" t="inlineStr">
        <is>
          <t>✓ FINDING 1: Family History vs Counseling Adequacy (Q25)</t>
        </is>
      </c>
    </row>
    <row r="538">
      <c r="A538" t="inlineStr">
        <is>
          <t xml:space="preserve">   Odds Ratio:</t>
        </is>
      </c>
      <c r="B538" t="n">
        <v>0.278</v>
      </c>
    </row>
    <row r="539">
      <c r="A539" t="inlineStr">
        <is>
          <t xml:space="preserve">   P-value:</t>
        </is>
      </c>
      <c r="B539" t="n">
        <v>0.0014</v>
      </c>
    </row>
    <row r="540">
      <c r="A540" t="inlineStr">
        <is>
          <t xml:space="preserve">   Interpretation:</t>
        </is>
      </c>
      <c r="B540" t="inlineStr">
        <is>
          <t>Those WITH family history are significantly LESS likely</t>
        </is>
      </c>
    </row>
    <row r="541">
      <c r="B541" t="inlineStr">
        <is>
          <t>to perceive counseling as adequate compared to those without.</t>
        </is>
      </c>
    </row>
    <row r="542">
      <c r="B542" t="inlineStr">
        <is>
          <t>OR &lt; 1 indicates those with family history have 72% lower odds</t>
        </is>
      </c>
    </row>
    <row r="543">
      <c r="B543" t="inlineStr">
        <is>
          <t>of finding counseling sufficient.</t>
        </is>
      </c>
    </row>
    <row r="545">
      <c r="A545" s="2" t="inlineStr">
        <is>
          <t>✓ FINDING 2: Marital Status vs Counseling Adequacy (Q25)</t>
        </is>
      </c>
    </row>
    <row r="546">
      <c r="A546" t="inlineStr">
        <is>
          <t xml:space="preserve">   Odds Ratio:</t>
        </is>
      </c>
      <c r="B546" t="n">
        <v>2.09</v>
      </c>
    </row>
    <row r="547">
      <c r="A547" t="inlineStr">
        <is>
          <t xml:space="preserve">   P-value:</t>
        </is>
      </c>
      <c r="B547" t="n">
        <v>0.0343</v>
      </c>
    </row>
    <row r="548">
      <c r="A548" t="inlineStr">
        <is>
          <t xml:space="preserve">   Interpretation:</t>
        </is>
      </c>
      <c r="B548" t="inlineStr">
        <is>
          <t>Single individuals are significantly MORE likely</t>
        </is>
      </c>
    </row>
    <row r="549">
      <c r="B549" t="inlineStr">
        <is>
          <t>to perceive counseling as adequate compared to married individuals.</t>
        </is>
      </c>
    </row>
    <row r="550">
      <c r="B550" t="inlineStr">
        <is>
          <t>OR &gt; 1 indicates single carriers have 2x higher odds</t>
        </is>
      </c>
    </row>
    <row r="551">
      <c r="B551" t="inlineStr">
        <is>
          <t>of finding counseling sufficient.</t>
        </is>
      </c>
    </row>
    <row r="554">
      <c r="A554" s="9" t="inlineStr">
        <is>
          <t>CLINICAL IMPLICATIONS:</t>
        </is>
      </c>
    </row>
    <row r="555">
      <c r="A555" t="inlineStr">
        <is>
          <t>1. Enhanced counseling may be needed for those with family history of blood disorders</t>
        </is>
      </c>
    </row>
    <row r="556">
      <c r="A556" t="inlineStr">
        <is>
          <t>2. Married carriers may require additional support/information compared to single carriers</t>
        </is>
      </c>
    </row>
    <row r="557">
      <c r="A557" t="inlineStr">
        <is>
          <t>3. Family history carriers may have higher expectations or more complex information needs</t>
        </is>
      </c>
    </row>
    <row r="558">
      <c r="A558" t="inlineStr">
        <is>
          <t>4. Consider tailored counseling approaches based on marital status and family history</t>
        </is>
      </c>
    </row>
  </sheetData>
  <mergeCells count="1">
    <mergeCell ref="A1:I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726"/>
  <sheetViews>
    <sheetView workbookViewId="0">
      <pane ySplit="21" topLeftCell="A51" activePane="bottomLeft" state="frozen"/>
      <selection pane="bottomLeft" activeCell="A1" sqref="A1:I1"/>
    </sheetView>
  </sheetViews>
  <sheetFormatPr baseColWidth="8" defaultRowHeight="14.45"/>
  <cols>
    <col width="37" customWidth="1" style="61" min="1" max="1"/>
    <col width="27.7109375" customWidth="1" style="61" min="2" max="4"/>
    <col width="18.5703125" customWidth="1" style="61" min="5" max="7"/>
    <col width="14.7109375" customWidth="1" style="61" min="8" max="8"/>
    <col width="18.5703125" customWidth="1" style="61" min="9" max="9"/>
    <col width="14.7109375" customWidth="1" style="61" min="10" max="10"/>
    <col width="18.5703125" customWidth="1" style="61" min="11" max="11"/>
  </cols>
  <sheetData>
    <row r="1" ht="21" customHeight="1" s="61">
      <c r="A1" s="62" t="inlineStr">
        <is>
          <t>T-TESTS &amp; MANN-WHITNEY U TESTS - CATEGORY 3</t>
        </is>
      </c>
    </row>
    <row r="2">
      <c r="A2" s="63" t="inlineStr">
        <is>
          <t>Comparing Continuous Variables Between Groups</t>
        </is>
      </c>
    </row>
    <row r="4">
      <c r="A4" s="2" t="inlineStr">
        <is>
          <t>ABOUT THESE TESTS:</t>
        </is>
      </c>
    </row>
    <row r="5">
      <c r="A5" t="inlineStr">
        <is>
          <t>Independent Samples T-Test: Compares means of two independent groups (parametric test)</t>
        </is>
      </c>
    </row>
    <row r="6">
      <c r="A6" t="inlineStr">
        <is>
          <t>• Assumes: Normal distribution, equal variances (Levene's test), independent observations</t>
        </is>
      </c>
    </row>
    <row r="7">
      <c r="A7" t="inlineStr">
        <is>
          <t>• Null hypothesis: The means of the two groups are equal (μ1 = μ2)</t>
        </is>
      </c>
    </row>
    <row r="9">
      <c r="A9" t="inlineStr">
        <is>
          <t>Mann-Whitney U Test: Non-parametric alternative when normality assumption is violated</t>
        </is>
      </c>
    </row>
    <row r="10">
      <c r="A10" t="inlineStr">
        <is>
          <t>• Does not require normal distribution</t>
        </is>
      </c>
    </row>
    <row r="11">
      <c r="A11" t="inlineStr">
        <is>
          <t>• Compares medians/ranks rather than means</t>
        </is>
      </c>
    </row>
    <row r="12">
      <c r="A12" t="inlineStr">
        <is>
          <t>• More robust for ordinal data or skewed distributions</t>
        </is>
      </c>
    </row>
    <row r="14">
      <c r="A14" t="inlineStr">
        <is>
          <t>Welch's T-Test: Used when variances are unequal (does not assume equal variances)</t>
        </is>
      </c>
    </row>
    <row r="16">
      <c r="A16" t="inlineStr">
        <is>
          <t>Effect Size (Cohen's d): Small = 0.2, Medium = 0.5, Large = 0.8</t>
        </is>
      </c>
    </row>
    <row r="19" ht="15.6" customHeight="1" s="61">
      <c r="A19" s="64" t="inlineStr">
        <is>
          <t>SUMMARY TABLE OF ALL T-TEST &amp; MANN-WHITNEY U RESULTS</t>
        </is>
      </c>
    </row>
    <row r="21">
      <c r="A21" s="42" t="inlineStr">
        <is>
          <t>#</t>
        </is>
      </c>
      <c r="B21" s="42" t="inlineStr">
        <is>
          <t>Comparison</t>
        </is>
      </c>
      <c r="C21" s="42" t="inlineStr">
        <is>
          <t>Grouping Variable</t>
        </is>
      </c>
      <c r="D21" s="42" t="inlineStr">
        <is>
          <t>Test Type</t>
        </is>
      </c>
      <c r="E21" s="42" t="inlineStr">
        <is>
          <t>Group 1 Mean</t>
        </is>
      </c>
      <c r="F21" s="42" t="inlineStr">
        <is>
          <t>Group 2 Mean</t>
        </is>
      </c>
      <c r="G21" s="42" t="inlineStr">
        <is>
          <t>Test Statistic</t>
        </is>
      </c>
      <c r="H21" s="42" t="inlineStr">
        <is>
          <t>P-value</t>
        </is>
      </c>
      <c r="I21" s="42" t="inlineStr">
        <is>
          <t>Significant?</t>
        </is>
      </c>
      <c r="J21" s="42" t="inlineStr">
        <is>
          <t>Cohen's d</t>
        </is>
      </c>
      <c r="K21" s="42" t="inlineStr">
        <is>
          <t>Effect Size</t>
        </is>
      </c>
    </row>
    <row r="22">
      <c r="A22" s="24" t="n">
        <v>1</v>
      </c>
      <c r="B22" s="24" t="inlineStr">
        <is>
          <t>Age by Gender</t>
        </is>
      </c>
      <c r="C22" s="24" t="inlineStr">
        <is>
          <t>Gender (Female vs Male)</t>
        </is>
      </c>
      <c r="D22" s="24" t="inlineStr">
        <is>
          <t>Independent T-Test</t>
        </is>
      </c>
      <c r="E22" s="44">
        <f>E44</f>
        <v/>
      </c>
      <c r="F22" s="44">
        <f>F44</f>
        <v/>
      </c>
      <c r="G22" s="37">
        <f>C165</f>
        <v/>
      </c>
      <c r="H22" s="38">
        <f>C167</f>
        <v/>
      </c>
      <c r="I22" s="24">
        <f>IF(C167&lt;0.05,"YES ✓","NO")</f>
        <v/>
      </c>
      <c r="J22" s="37">
        <f>B192</f>
        <v/>
      </c>
      <c r="K22" s="24">
        <f>B193</f>
        <v/>
      </c>
    </row>
    <row r="23">
      <c r="A23" s="24" t="n">
        <v>2</v>
      </c>
      <c r="B23" s="24" t="inlineStr">
        <is>
          <t>Age by Gender</t>
        </is>
      </c>
      <c r="C23" s="24" t="inlineStr">
        <is>
          <t>Gender (Female vs Male)</t>
        </is>
      </c>
      <c r="D23" s="24" t="inlineStr">
        <is>
          <t>Welch's T-Test</t>
        </is>
      </c>
      <c r="E23" s="44">
        <f>E44</f>
        <v/>
      </c>
      <c r="F23" s="44">
        <f>F44</f>
        <v/>
      </c>
      <c r="G23" s="37">
        <f>C182</f>
        <v/>
      </c>
      <c r="H23" s="38">
        <f>C184</f>
        <v/>
      </c>
      <c r="I23" s="24">
        <f>IF(C184&lt;0.05,"YES ✓","NO")</f>
        <v/>
      </c>
      <c r="J23" s="37">
        <f>B192</f>
        <v/>
      </c>
      <c r="K23" s="24">
        <f>B193</f>
        <v/>
      </c>
    </row>
    <row r="24">
      <c r="A24" s="24" t="n">
        <v>3</v>
      </c>
      <c r="B24" s="24" t="inlineStr">
        <is>
          <t>Age by Marital Status</t>
        </is>
      </c>
      <c r="C24" s="24" t="inlineStr">
        <is>
          <t>Marital (Single vs Married)</t>
        </is>
      </c>
      <c r="D24" s="24" t="inlineStr">
        <is>
          <t>Independent T-Test</t>
        </is>
      </c>
      <c r="E24" s="44">
        <f>E209</f>
        <v/>
      </c>
      <c r="F24" s="44">
        <f>F209</f>
        <v/>
      </c>
      <c r="G24" s="37">
        <f>C351</f>
        <v/>
      </c>
      <c r="H24" s="38">
        <f>C353</f>
        <v/>
      </c>
      <c r="I24" s="24">
        <f>IF(C353&lt;0.05,"YES ✓","NO")</f>
        <v/>
      </c>
      <c r="J24" s="37">
        <f>B378</f>
        <v/>
      </c>
      <c r="K24" s="24">
        <f>B379</f>
        <v/>
      </c>
    </row>
    <row r="25">
      <c r="A25" s="24" t="n">
        <v>4</v>
      </c>
      <c r="B25" s="24" t="inlineStr">
        <is>
          <t>Age by Marital Status</t>
        </is>
      </c>
      <c r="C25" s="24" t="inlineStr">
        <is>
          <t>Marital (Single vs Married)</t>
        </is>
      </c>
      <c r="D25" s="24" t="inlineStr">
        <is>
          <t>Welch's T-Test</t>
        </is>
      </c>
      <c r="E25" s="44">
        <f>E209</f>
        <v/>
      </c>
      <c r="F25" s="44">
        <f>F209</f>
        <v/>
      </c>
      <c r="G25" s="37">
        <f>C368</f>
        <v/>
      </c>
      <c r="H25" s="38">
        <f>C370</f>
        <v/>
      </c>
      <c r="I25" s="24">
        <f>IF(C370&lt;0.05,"YES ✓","NO")</f>
        <v/>
      </c>
      <c r="J25" s="37">
        <f>B378</f>
        <v/>
      </c>
      <c r="K25" s="24">
        <f>B379</f>
        <v/>
      </c>
    </row>
    <row r="26">
      <c r="A26" s="24" t="n">
        <v>5</v>
      </c>
      <c r="B26" s="24" t="inlineStr">
        <is>
          <t>Age by Family History</t>
        </is>
      </c>
      <c r="C26" s="24" t="inlineStr">
        <is>
          <t>Family History (Yes vs No)</t>
        </is>
      </c>
      <c r="D26" s="24" t="inlineStr">
        <is>
          <t>Independent T-Test</t>
        </is>
      </c>
      <c r="E26" s="44">
        <f>E394</f>
        <v/>
      </c>
      <c r="F26" s="44">
        <f>F394</f>
        <v/>
      </c>
      <c r="G26" s="37">
        <f>C541</f>
        <v/>
      </c>
      <c r="H26" s="38">
        <f>C543</f>
        <v/>
      </c>
      <c r="I26" s="24">
        <f>IF(C543&lt;0.05,"YES ✓","NO")</f>
        <v/>
      </c>
      <c r="J26" s="37">
        <f>B568</f>
        <v/>
      </c>
      <c r="K26" s="24">
        <f>B569</f>
        <v/>
      </c>
    </row>
    <row r="27">
      <c r="A27" s="24" t="n">
        <v>6</v>
      </c>
      <c r="B27" s="24" t="inlineStr">
        <is>
          <t>Age by Family History</t>
        </is>
      </c>
      <c r="C27" s="24" t="inlineStr">
        <is>
          <t>Family History (Yes vs No)</t>
        </is>
      </c>
      <c r="D27" s="24" t="inlineStr">
        <is>
          <t>Welch's T-Test</t>
        </is>
      </c>
      <c r="E27" s="44">
        <f>E394</f>
        <v/>
      </c>
      <c r="F27" s="44">
        <f>F394</f>
        <v/>
      </c>
      <c r="G27" s="37">
        <f>C558</f>
        <v/>
      </c>
      <c r="H27" s="38">
        <f>C560</f>
        <v/>
      </c>
      <c r="I27" s="24">
        <f>IF(C560&lt;0.05,"YES ✓","NO")</f>
        <v/>
      </c>
      <c r="J27" s="37">
        <f>B568</f>
        <v/>
      </c>
      <c r="K27" s="24">
        <f>B569</f>
        <v/>
      </c>
    </row>
    <row r="28">
      <c r="A28" s="24" t="n">
        <v>7</v>
      </c>
      <c r="B28" s="24" t="inlineStr">
        <is>
          <t>Age by Gender</t>
        </is>
      </c>
      <c r="C28" s="24" t="inlineStr">
        <is>
          <t>Gender (Female vs Male)</t>
        </is>
      </c>
      <c r="D28" s="24" t="inlineStr">
        <is>
          <t>Mann-Whitney U</t>
        </is>
      </c>
      <c r="E28" s="44">
        <f>E48</f>
        <v/>
      </c>
      <c r="F28" s="44">
        <f>F48</f>
        <v/>
      </c>
      <c r="G28" s="37">
        <f>C605</f>
        <v/>
      </c>
      <c r="H28" s="38">
        <f>C606</f>
        <v/>
      </c>
      <c r="I28" s="24">
        <f>IF(C606&lt;0.05,"YES ✓","NO")</f>
        <v/>
      </c>
      <c r="J28" s="37">
        <f>B612</f>
        <v/>
      </c>
      <c r="K28" s="24">
        <f>B613</f>
        <v/>
      </c>
    </row>
    <row r="29">
      <c r="A29" s="24" t="n">
        <v>8</v>
      </c>
      <c r="B29" s="24" t="inlineStr">
        <is>
          <t>Age by Marital Status</t>
        </is>
      </c>
      <c r="C29" s="24" t="inlineStr">
        <is>
          <t>Marital (Single vs Married)</t>
        </is>
      </c>
      <c r="D29" s="24" t="inlineStr">
        <is>
          <t>Mann-Whitney U</t>
        </is>
      </c>
      <c r="E29" s="44">
        <f>E213</f>
        <v/>
      </c>
      <c r="F29" s="44">
        <f>F213</f>
        <v/>
      </c>
      <c r="G29" s="37">
        <f>C627</f>
        <v/>
      </c>
      <c r="H29" s="38">
        <f>C628</f>
        <v/>
      </c>
      <c r="I29" s="24">
        <f>IF(C628&lt;0.05,"YES ✓","NO")</f>
        <v/>
      </c>
      <c r="J29" s="37">
        <f>B634</f>
        <v/>
      </c>
      <c r="K29" s="24">
        <f>B635</f>
        <v/>
      </c>
    </row>
    <row r="30">
      <c r="A30" s="24" t="n">
        <v>9</v>
      </c>
      <c r="B30" s="24" t="inlineStr">
        <is>
          <t>Age by Family History</t>
        </is>
      </c>
      <c r="C30" s="24" t="inlineStr">
        <is>
          <t>Family History (Yes vs No)</t>
        </is>
      </c>
      <c r="D30" s="24" t="inlineStr">
        <is>
          <t>Mann-Whitney U</t>
        </is>
      </c>
      <c r="E30" s="44">
        <f>E398</f>
        <v/>
      </c>
      <c r="F30" s="44">
        <f>F398</f>
        <v/>
      </c>
      <c r="G30" s="37">
        <f>C647</f>
        <v/>
      </c>
      <c r="H30" s="38">
        <f>C648</f>
        <v/>
      </c>
      <c r="I30" s="24">
        <f>IF(C648&lt;0.05,"YES ✓","NO")</f>
        <v/>
      </c>
      <c r="J30" s="37">
        <f>B654</f>
        <v/>
      </c>
      <c r="K30" s="24">
        <f>B655</f>
        <v/>
      </c>
    </row>
    <row r="32">
      <c r="A32" s="63" t="inlineStr">
        <is>
          <t>Note: Rows highlighted where p &lt; 0.05 indicate statistically significant results</t>
        </is>
      </c>
    </row>
    <row r="35">
      <c r="A35" t="inlineStr">
        <is>
          <t>═══════════════════════════════════════════════════════════════════════════════</t>
        </is>
      </c>
    </row>
    <row r="36" ht="18" customHeight="1" s="61">
      <c r="A36" s="66" t="inlineStr">
        <is>
          <t>ANALYSIS 1: AGE BY GENDER (Female vs Male)</t>
        </is>
      </c>
    </row>
    <row r="38">
      <c r="A38" s="63" t="inlineStr">
        <is>
          <t>Research Question: Is there a significant difference in age between female and male thalassemia carriers?</t>
        </is>
      </c>
    </row>
    <row r="41">
      <c r="A41" s="2" t="inlineStr">
        <is>
          <t>RAW DATA</t>
        </is>
      </c>
      <c r="D41" s="2" t="inlineStr">
        <is>
          <t>DESCRIPTIVE STATISTICS</t>
        </is>
      </c>
    </row>
    <row r="42">
      <c r="A42" s="7" t="inlineStr">
        <is>
          <t>Female Ages</t>
        </is>
      </c>
      <c r="B42" s="7" t="inlineStr">
        <is>
          <t>Male Ages</t>
        </is>
      </c>
      <c r="D42" s="42" t="inlineStr">
        <is>
          <t>Statistic</t>
        </is>
      </c>
      <c r="E42" s="42" t="inlineStr">
        <is>
          <t>Female</t>
        </is>
      </c>
      <c r="F42" s="42" t="inlineStr">
        <is>
          <t>Male</t>
        </is>
      </c>
    </row>
    <row r="43">
      <c r="A43" t="n">
        <v>29</v>
      </c>
      <c r="B43" t="n">
        <v>28</v>
      </c>
      <c r="D43" s="24" t="inlineStr">
        <is>
          <t>Sample Size (n)</t>
        </is>
      </c>
      <c r="E43" s="45">
        <f>COUNT(A43:A157)</f>
        <v/>
      </c>
      <c r="F43" s="45">
        <f>COUNT(B43:B157)</f>
        <v/>
      </c>
    </row>
    <row r="44">
      <c r="A44" t="n">
        <v>25</v>
      </c>
      <c r="B44" t="n">
        <v>49</v>
      </c>
      <c r="D44" s="24" t="inlineStr">
        <is>
          <t>Mean</t>
        </is>
      </c>
      <c r="E44" s="44">
        <f>AVERAGE(A43:A157)</f>
        <v/>
      </c>
      <c r="F44" s="44">
        <f>AVERAGE(B43:B157)</f>
        <v/>
      </c>
    </row>
    <row r="45">
      <c r="A45" t="n">
        <v>35</v>
      </c>
      <c r="B45" t="n">
        <v>24</v>
      </c>
      <c r="D45" s="24" t="inlineStr">
        <is>
          <t>Standard Deviation</t>
        </is>
      </c>
      <c r="E45" s="44">
        <f>_xlfn.STDEV.S(A43:A157)</f>
        <v/>
      </c>
      <c r="F45" s="44">
        <f>_xlfn.STDEV.S(B43:B157)</f>
        <v/>
      </c>
    </row>
    <row r="46">
      <c r="A46" t="n">
        <v>28</v>
      </c>
      <c r="B46" t="n">
        <v>38</v>
      </c>
      <c r="D46" s="24" t="inlineStr">
        <is>
          <t>Variance</t>
        </is>
      </c>
      <c r="E46" s="44">
        <f>_xlfn.VAR.S(A43:A157)</f>
        <v/>
      </c>
      <c r="F46" s="44">
        <f>_xlfn.VAR.S(B43:B157)</f>
        <v/>
      </c>
    </row>
    <row r="47">
      <c r="A47" t="n">
        <v>34</v>
      </c>
      <c r="B47" t="n">
        <v>24</v>
      </c>
      <c r="D47" s="24" t="inlineStr">
        <is>
          <t>Standard Error</t>
        </is>
      </c>
      <c r="E47" s="44">
        <f>F45/SQRT(E43)</f>
        <v/>
      </c>
      <c r="F47" s="44">
        <f>F45/SQRT(F43)</f>
        <v/>
      </c>
    </row>
    <row r="48">
      <c r="A48" t="n">
        <v>27</v>
      </c>
      <c r="B48" t="n">
        <v>43</v>
      </c>
      <c r="D48" s="24" t="inlineStr">
        <is>
          <t>Median</t>
        </is>
      </c>
      <c r="E48" s="44">
        <f>MEDIAN(A43:A157)</f>
        <v/>
      </c>
      <c r="F48" s="44">
        <f>MEDIAN(B43:B157)</f>
        <v/>
      </c>
    </row>
    <row r="49">
      <c r="A49" t="n">
        <v>26</v>
      </c>
      <c r="B49" t="n">
        <v>24</v>
      </c>
      <c r="D49" s="24" t="inlineStr">
        <is>
          <t>Minimum</t>
        </is>
      </c>
      <c r="E49" s="44">
        <f>MIN(A43:A157)</f>
        <v/>
      </c>
      <c r="F49" s="44">
        <f>MIN(B43:B157)</f>
        <v/>
      </c>
    </row>
    <row r="50">
      <c r="A50" t="n">
        <v>27</v>
      </c>
      <c r="B50" t="n">
        <v>51</v>
      </c>
      <c r="D50" s="24" t="inlineStr">
        <is>
          <t>Maximum</t>
        </is>
      </c>
      <c r="E50" s="44">
        <f>MAX(A43:A157)</f>
        <v/>
      </c>
      <c r="F50" s="44">
        <f>MAX(B43:B157)</f>
        <v/>
      </c>
    </row>
    <row r="51">
      <c r="A51" t="n">
        <v>21</v>
      </c>
      <c r="B51" t="n">
        <v>34</v>
      </c>
      <c r="D51" s="24" t="inlineStr">
        <is>
          <t>Range</t>
        </is>
      </c>
      <c r="E51" s="44">
        <f>F50-F49</f>
        <v/>
      </c>
      <c r="F51" s="44">
        <f>F50-F49</f>
        <v/>
      </c>
    </row>
    <row r="52">
      <c r="A52" t="n">
        <v>22</v>
      </c>
      <c r="B52" t="n">
        <v>32</v>
      </c>
      <c r="D52" s="24" t="inlineStr">
        <is>
          <t>Skewness</t>
        </is>
      </c>
      <c r="E52" s="44">
        <f>SKEW(A43:A157)</f>
        <v/>
      </c>
      <c r="F52" s="44">
        <f>SKEW(B43:B157)</f>
        <v/>
      </c>
    </row>
    <row r="53">
      <c r="A53" t="n">
        <v>24</v>
      </c>
      <c r="B53" t="n">
        <v>43</v>
      </c>
      <c r="D53" s="24" t="inlineStr">
        <is>
          <t>Kurtosis</t>
        </is>
      </c>
      <c r="E53" s="44">
        <f>KURT(A43:A157)</f>
        <v/>
      </c>
      <c r="F53" s="44">
        <f>KURT(B43:B157)</f>
        <v/>
      </c>
    </row>
    <row r="54">
      <c r="A54" t="n">
        <v>26</v>
      </c>
      <c r="B54" t="n">
        <v>34</v>
      </c>
    </row>
    <row r="55">
      <c r="A55" t="n">
        <v>20</v>
      </c>
      <c r="B55" t="n">
        <v>19</v>
      </c>
    </row>
    <row r="56">
      <c r="A56" t="n">
        <v>23</v>
      </c>
      <c r="B56" t="n">
        <v>63</v>
      </c>
      <c r="D56" s="2" t="inlineStr">
        <is>
          <t>ASSUMPTIONS TESTING</t>
        </is>
      </c>
    </row>
    <row r="57">
      <c r="A57" t="n">
        <v>22</v>
      </c>
      <c r="B57" t="n">
        <v>22</v>
      </c>
      <c r="D57" s="41" t="inlineStr">
        <is>
          <t>Test</t>
        </is>
      </c>
      <c r="E57" s="41" t="inlineStr">
        <is>
          <t>Result</t>
        </is>
      </c>
      <c r="F57" s="41" t="inlineStr">
        <is>
          <t>Interpretation</t>
        </is>
      </c>
    </row>
    <row r="58">
      <c r="A58" t="n">
        <v>29</v>
      </c>
      <c r="B58" t="n">
        <v>24</v>
      </c>
      <c r="D58" t="inlineStr">
        <is>
          <t>Normality (Skewness)</t>
        </is>
      </c>
      <c r="E58">
        <f>IF(AND(ABS(E52)&lt;2,ABS(F52)&lt;2),"PASS","FAIL")</f>
        <v/>
      </c>
      <c r="F58">
        <f>IF(AND(ABS(E52)&lt;2,ABS(F52)&lt;2),"Distribution approximately normal","Distribution may be non-normal")</f>
        <v/>
      </c>
    </row>
    <row r="59">
      <c r="A59" t="n">
        <v>27</v>
      </c>
      <c r="B59" t="n">
        <v>46</v>
      </c>
      <c r="D59" t="inlineStr">
        <is>
          <t>Normality (Kurtosis)</t>
        </is>
      </c>
      <c r="E59">
        <f>IF(AND(ABS(E53)&lt;7,ABS(F53)&lt;7),"PASS","FAIL")</f>
        <v/>
      </c>
      <c r="F59">
        <f>IF(AND(ABS(E53)&lt;7,ABS(F53)&lt;7),"Kurtosis within acceptable range","Excess kurtosis detected")</f>
        <v/>
      </c>
    </row>
    <row r="60">
      <c r="A60" t="n">
        <v>21</v>
      </c>
      <c r="B60" t="n">
        <v>25</v>
      </c>
      <c r="D60" t="inlineStr">
        <is>
          <t>Sample Size Check</t>
        </is>
      </c>
      <c r="E60">
        <f>IF(AND(E43&gt;=30,F43&gt;=30),"PASS","CAUTION")</f>
        <v/>
      </c>
      <c r="F60">
        <f>IF(AND(E43&gt;=30,F43&gt;=30),"Large samples (n≥30), CLT applies","Small sample, check normality")</f>
        <v/>
      </c>
    </row>
    <row r="61">
      <c r="A61" t="n">
        <v>23</v>
      </c>
      <c r="B61" t="n">
        <v>19</v>
      </c>
    </row>
    <row r="62">
      <c r="A62" t="n">
        <v>22</v>
      </c>
      <c r="B62" t="n">
        <v>24</v>
      </c>
      <c r="D62" s="2" t="inlineStr">
        <is>
          <t>LEVENE'S TEST FOR EQUALITY OF VARIANCES (F-Test Approximation)</t>
        </is>
      </c>
    </row>
    <row r="63">
      <c r="A63" t="n">
        <v>23</v>
      </c>
      <c r="B63" t="n">
        <v>24</v>
      </c>
      <c r="D63" s="41" t="inlineStr">
        <is>
          <t>Statistic</t>
        </is>
      </c>
      <c r="E63" s="41" t="inlineStr">
        <is>
          <t>Value</t>
        </is>
      </c>
    </row>
    <row r="64">
      <c r="A64" t="n">
        <v>25</v>
      </c>
      <c r="B64" t="n">
        <v>24</v>
      </c>
      <c r="D64" t="inlineStr">
        <is>
          <t>F-ratio (Variance ratio)</t>
        </is>
      </c>
      <c r="E64" s="10">
        <f>MAX(E46,F46)/MIN(E46,F46)</f>
        <v/>
      </c>
    </row>
    <row r="65">
      <c r="A65" t="n">
        <v>22</v>
      </c>
      <c r="B65" t="n">
        <v>36</v>
      </c>
      <c r="D65" t="inlineStr">
        <is>
          <t>df1</t>
        </is>
      </c>
      <c r="E65" s="10">
        <f>E43-1</f>
        <v/>
      </c>
    </row>
    <row r="66">
      <c r="A66" t="n">
        <v>21</v>
      </c>
      <c r="B66" t="n">
        <v>53</v>
      </c>
      <c r="D66" t="inlineStr">
        <is>
          <t>df2</t>
        </is>
      </c>
      <c r="E66" s="10">
        <f>F43-1</f>
        <v/>
      </c>
    </row>
    <row r="67">
      <c r="A67" t="n">
        <v>43</v>
      </c>
      <c r="B67" t="n">
        <v>25</v>
      </c>
      <c r="D67" t="inlineStr">
        <is>
          <t>P-value (two-tailed)</t>
        </is>
      </c>
      <c r="E67" s="10">
        <f>2*MIN(_xlfn.F.DIST(D64,D65,D66,TRUE),1-_xlfn.F.DIST(D64,D65,D66,TRUE))</f>
        <v/>
      </c>
    </row>
    <row r="68">
      <c r="A68" t="n">
        <v>56</v>
      </c>
      <c r="B68" t="n">
        <v>24</v>
      </c>
      <c r="D68" t="inlineStr">
        <is>
          <t>Variances Equal?</t>
        </is>
      </c>
      <c r="E68">
        <f>IF(D67&gt;0.05,"YES - Use pooled variance","NO - Use Welch's t-test")</f>
        <v/>
      </c>
    </row>
    <row r="69">
      <c r="A69" t="n">
        <v>26</v>
      </c>
      <c r="B69" t="n">
        <v>22</v>
      </c>
    </row>
    <row r="70">
      <c r="A70" t="n">
        <v>40</v>
      </c>
      <c r="B70" t="n">
        <v>55</v>
      </c>
    </row>
    <row r="71">
      <c r="A71" t="n">
        <v>55</v>
      </c>
      <c r="B71" t="n">
        <v>38</v>
      </c>
    </row>
    <row r="72">
      <c r="A72" t="n">
        <v>25</v>
      </c>
      <c r="B72" t="n">
        <v>51</v>
      </c>
    </row>
    <row r="73">
      <c r="A73" t="n">
        <v>23</v>
      </c>
      <c r="B73" t="n">
        <v>18</v>
      </c>
    </row>
    <row r="74">
      <c r="A74" t="n">
        <v>24</v>
      </c>
      <c r="B74" t="n">
        <v>38</v>
      </c>
    </row>
    <row r="75">
      <c r="A75" t="n">
        <v>23</v>
      </c>
      <c r="B75" t="n">
        <v>24</v>
      </c>
    </row>
    <row r="76">
      <c r="A76" t="n">
        <v>22</v>
      </c>
      <c r="B76" t="n">
        <v>37</v>
      </c>
    </row>
    <row r="77">
      <c r="A77" t="n">
        <v>26</v>
      </c>
      <c r="B77" t="n">
        <v>24</v>
      </c>
    </row>
    <row r="78">
      <c r="A78" t="n">
        <v>21</v>
      </c>
      <c r="B78" t="n">
        <v>26</v>
      </c>
    </row>
    <row r="79">
      <c r="A79" t="n">
        <v>29</v>
      </c>
      <c r="B79" t="n">
        <v>33</v>
      </c>
    </row>
    <row r="80">
      <c r="A80" t="n">
        <v>29</v>
      </c>
      <c r="B80" t="n">
        <v>20</v>
      </c>
    </row>
    <row r="81">
      <c r="A81" t="n">
        <v>52</v>
      </c>
      <c r="B81" t="n">
        <v>20</v>
      </c>
    </row>
    <row r="82">
      <c r="A82" t="n">
        <v>24</v>
      </c>
      <c r="B82" t="n">
        <v>26</v>
      </c>
    </row>
    <row r="83">
      <c r="A83" t="n">
        <v>20</v>
      </c>
      <c r="B83" t="n">
        <v>29</v>
      </c>
    </row>
    <row r="84">
      <c r="A84" t="n">
        <v>18</v>
      </c>
      <c r="B84" t="n">
        <v>28</v>
      </c>
    </row>
    <row r="85">
      <c r="A85" t="n">
        <v>18</v>
      </c>
      <c r="B85" t="n">
        <v>29</v>
      </c>
    </row>
    <row r="86">
      <c r="A86" t="n">
        <v>50</v>
      </c>
      <c r="B86" t="n">
        <v>30</v>
      </c>
    </row>
    <row r="87">
      <c r="A87" t="n">
        <v>24</v>
      </c>
      <c r="B87" t="n">
        <v>20</v>
      </c>
    </row>
    <row r="88">
      <c r="A88" t="n">
        <v>53</v>
      </c>
      <c r="B88" t="n">
        <v>24</v>
      </c>
    </row>
    <row r="89">
      <c r="A89" t="n">
        <v>33</v>
      </c>
      <c r="B89" t="n">
        <v>38</v>
      </c>
    </row>
    <row r="90">
      <c r="A90" t="n">
        <v>24</v>
      </c>
      <c r="B90" t="n">
        <v>61</v>
      </c>
    </row>
    <row r="91">
      <c r="A91" t="n">
        <v>25</v>
      </c>
      <c r="B91" t="n">
        <v>56</v>
      </c>
    </row>
    <row r="92">
      <c r="A92" t="n">
        <v>47</v>
      </c>
      <c r="B92" t="n">
        <v>24</v>
      </c>
    </row>
    <row r="93">
      <c r="A93" t="n">
        <v>27</v>
      </c>
      <c r="B93" t="n">
        <v>37</v>
      </c>
    </row>
    <row r="94">
      <c r="A94" t="n">
        <v>23</v>
      </c>
      <c r="B94" t="n">
        <v>25</v>
      </c>
    </row>
    <row r="95">
      <c r="A95" t="n">
        <v>27</v>
      </c>
      <c r="B95" t="n">
        <v>24</v>
      </c>
    </row>
    <row r="96">
      <c r="A96" t="n">
        <v>30</v>
      </c>
      <c r="B96" t="n">
        <v>32</v>
      </c>
    </row>
    <row r="97">
      <c r="A97" t="n">
        <v>46</v>
      </c>
      <c r="B97" t="n">
        <v>33</v>
      </c>
    </row>
    <row r="98">
      <c r="A98" t="n">
        <v>24</v>
      </c>
      <c r="B98" t="n">
        <v>23</v>
      </c>
    </row>
    <row r="99">
      <c r="A99" t="n">
        <v>24</v>
      </c>
      <c r="B99" t="n">
        <v>20</v>
      </c>
    </row>
    <row r="100">
      <c r="A100" t="n">
        <v>24</v>
      </c>
      <c r="B100" t="n">
        <v>26</v>
      </c>
    </row>
    <row r="101">
      <c r="A101" t="n">
        <v>23</v>
      </c>
      <c r="B101" t="n">
        <v>28</v>
      </c>
    </row>
    <row r="102">
      <c r="A102" t="n">
        <v>24</v>
      </c>
      <c r="B102" t="n">
        <v>48</v>
      </c>
    </row>
    <row r="103">
      <c r="A103" t="n">
        <v>15</v>
      </c>
      <c r="B103" t="n">
        <v>39</v>
      </c>
    </row>
    <row r="104">
      <c r="A104" t="n">
        <v>39</v>
      </c>
      <c r="B104" t="n">
        <v>23</v>
      </c>
    </row>
    <row r="105">
      <c r="A105" t="n">
        <v>19</v>
      </c>
      <c r="B105" t="n">
        <v>40</v>
      </c>
    </row>
    <row r="106">
      <c r="A106" t="n">
        <v>35</v>
      </c>
      <c r="B106" t="n">
        <v>25</v>
      </c>
    </row>
    <row r="107">
      <c r="A107" t="n">
        <v>20</v>
      </c>
      <c r="B107" t="n">
        <v>30</v>
      </c>
    </row>
    <row r="108">
      <c r="A108" t="n">
        <v>20</v>
      </c>
      <c r="B108" t="n">
        <v>36</v>
      </c>
    </row>
    <row r="109">
      <c r="A109" t="n">
        <v>27</v>
      </c>
      <c r="B109" t="n">
        <v>27</v>
      </c>
    </row>
    <row r="110">
      <c r="A110" t="n">
        <v>23</v>
      </c>
      <c r="B110" t="n">
        <v>23</v>
      </c>
    </row>
    <row r="111">
      <c r="A111" t="n">
        <v>33</v>
      </c>
      <c r="B111" t="n">
        <v>26</v>
      </c>
    </row>
    <row r="112">
      <c r="A112" t="n">
        <v>26</v>
      </c>
      <c r="B112" t="n">
        <v>38</v>
      </c>
    </row>
    <row r="113">
      <c r="A113" t="n">
        <v>24</v>
      </c>
      <c r="B113" t="n">
        <v>27</v>
      </c>
    </row>
    <row r="114">
      <c r="A114" t="n">
        <v>34</v>
      </c>
      <c r="B114" t="n">
        <v>28</v>
      </c>
    </row>
    <row r="115">
      <c r="A115" t="n">
        <v>20</v>
      </c>
      <c r="B115" t="n">
        <v>22</v>
      </c>
    </row>
    <row r="116">
      <c r="A116" t="n">
        <v>31</v>
      </c>
      <c r="B116" t="n">
        <v>25</v>
      </c>
    </row>
    <row r="117">
      <c r="A117" t="n">
        <v>29</v>
      </c>
      <c r="B117" t="n">
        <v>53</v>
      </c>
    </row>
    <row r="118">
      <c r="A118" t="n">
        <v>49</v>
      </c>
      <c r="B118" t="n">
        <v>41</v>
      </c>
    </row>
    <row r="119">
      <c r="A119" t="n">
        <v>24</v>
      </c>
      <c r="B119" t="n">
        <v>48</v>
      </c>
    </row>
    <row r="120">
      <c r="A120" t="n">
        <v>27</v>
      </c>
      <c r="B120" t="n">
        <v>29</v>
      </c>
    </row>
    <row r="121">
      <c r="A121" t="n">
        <v>35</v>
      </c>
      <c r="B121" t="n">
        <v>31</v>
      </c>
    </row>
    <row r="122">
      <c r="A122" t="n">
        <v>39</v>
      </c>
      <c r="B122" t="n">
        <v>36</v>
      </c>
    </row>
    <row r="123">
      <c r="A123" t="n">
        <v>28</v>
      </c>
      <c r="B123" t="n">
        <v>39</v>
      </c>
    </row>
    <row r="124">
      <c r="A124" t="n">
        <v>29</v>
      </c>
      <c r="B124" t="n">
        <v>35</v>
      </c>
    </row>
    <row r="125">
      <c r="A125" t="n">
        <v>27</v>
      </c>
      <c r="B125" t="n">
        <v>26</v>
      </c>
    </row>
    <row r="126">
      <c r="A126" t="n">
        <v>28</v>
      </c>
      <c r="B126" t="n">
        <v>20</v>
      </c>
    </row>
    <row r="127">
      <c r="A127" t="n">
        <v>23</v>
      </c>
      <c r="B127" t="n">
        <v>24</v>
      </c>
    </row>
    <row r="128">
      <c r="A128" t="n">
        <v>28</v>
      </c>
    </row>
    <row r="129">
      <c r="A129" t="n">
        <v>25</v>
      </c>
    </row>
    <row r="130">
      <c r="A130" t="n">
        <v>28</v>
      </c>
    </row>
    <row r="131">
      <c r="A131" t="n">
        <v>28</v>
      </c>
    </row>
    <row r="132">
      <c r="A132" t="n">
        <v>26</v>
      </c>
    </row>
    <row r="133">
      <c r="A133" t="n">
        <v>26</v>
      </c>
    </row>
    <row r="134">
      <c r="A134" t="n">
        <v>24</v>
      </c>
    </row>
    <row r="135">
      <c r="A135" t="n">
        <v>25</v>
      </c>
    </row>
    <row r="136">
      <c r="A136" t="n">
        <v>25</v>
      </c>
    </row>
    <row r="137">
      <c r="A137" t="n">
        <v>19</v>
      </c>
    </row>
    <row r="138">
      <c r="A138" t="n">
        <v>25</v>
      </c>
    </row>
    <row r="139">
      <c r="A139" t="n">
        <v>24</v>
      </c>
    </row>
    <row r="140">
      <c r="A140" t="n">
        <v>50</v>
      </c>
    </row>
    <row r="141">
      <c r="A141" t="n">
        <v>25</v>
      </c>
    </row>
    <row r="142">
      <c r="A142" t="n">
        <v>26</v>
      </c>
    </row>
    <row r="143">
      <c r="A143" t="n">
        <v>16</v>
      </c>
    </row>
    <row r="144">
      <c r="A144" t="n">
        <v>27</v>
      </c>
    </row>
    <row r="145">
      <c r="A145" t="n">
        <v>26</v>
      </c>
    </row>
    <row r="146">
      <c r="A146" t="n">
        <v>30</v>
      </c>
    </row>
    <row r="147">
      <c r="A147" t="n">
        <v>39</v>
      </c>
    </row>
    <row r="148">
      <c r="A148" t="n">
        <v>24</v>
      </c>
    </row>
    <row r="149">
      <c r="A149" t="n">
        <v>28</v>
      </c>
    </row>
    <row r="150">
      <c r="A150" t="n">
        <v>37</v>
      </c>
    </row>
    <row r="151">
      <c r="A151" t="n">
        <v>40</v>
      </c>
    </row>
    <row r="152">
      <c r="A152" t="n">
        <v>63</v>
      </c>
    </row>
    <row r="153">
      <c r="A153" t="n">
        <v>27</v>
      </c>
    </row>
    <row r="154">
      <c r="A154" t="n">
        <v>23</v>
      </c>
    </row>
    <row r="155">
      <c r="A155" t="n">
        <v>25</v>
      </c>
    </row>
    <row r="156">
      <c r="A156" t="n">
        <v>28</v>
      </c>
    </row>
    <row r="157">
      <c r="A157" t="n">
        <v>36</v>
      </c>
    </row>
    <row r="160" ht="15.6" customHeight="1" s="61">
      <c r="A160" s="67" t="inlineStr">
        <is>
          <t>INDEPENDENT SAMPLES T-TEST (Pooled Variance)</t>
        </is>
      </c>
    </row>
    <row r="161">
      <c r="A161" s="41" t="inlineStr">
        <is>
          <t>Step</t>
        </is>
      </c>
      <c r="B161" s="41" t="inlineStr">
        <is>
          <t>Formula/Calculation</t>
        </is>
      </c>
      <c r="C161" s="41" t="inlineStr">
        <is>
          <t>Value</t>
        </is>
      </c>
    </row>
    <row r="162">
      <c r="A162" t="inlineStr">
        <is>
          <t>1. Mean difference</t>
        </is>
      </c>
      <c r="B162" t="inlineStr">
        <is>
          <t>x̄₁ - x̄₂</t>
        </is>
      </c>
      <c r="C162" s="10">
        <f>E44-F44</f>
        <v/>
      </c>
    </row>
    <row r="163">
      <c r="A163" t="inlineStr">
        <is>
          <t>2. Pooled Variance</t>
        </is>
      </c>
      <c r="B163" t="inlineStr">
        <is>
          <t>Sp² = [(n₁-1)s₁² + (n₂-1)s₂²] / (n₁+n₂-2)</t>
        </is>
      </c>
      <c r="C163" s="10">
        <f>((E43-1)*E46+(F43-1)*F46)/(E43+F43-2)</f>
        <v/>
      </c>
    </row>
    <row r="164">
      <c r="A164" t="inlineStr">
        <is>
          <t>3. Pooled Std Error</t>
        </is>
      </c>
      <c r="B164" t="inlineStr">
        <is>
          <t>SE = √[Sp²(1/n₁ + 1/n₂)]</t>
        </is>
      </c>
      <c r="C164" s="10">
        <f>SQRT(C163*(1/E43+1/F43))</f>
        <v/>
      </c>
    </row>
    <row r="165">
      <c r="A165" t="inlineStr">
        <is>
          <t>4. T-statistic</t>
        </is>
      </c>
      <c r="B165" t="inlineStr">
        <is>
          <t>t = (x̄₁ - x̄₂) / SE</t>
        </is>
      </c>
      <c r="C165" s="10">
        <f>C162/C164</f>
        <v/>
      </c>
    </row>
    <row r="166">
      <c r="A166" t="inlineStr">
        <is>
          <t>5. Degrees of Freedom</t>
        </is>
      </c>
      <c r="B166" t="inlineStr">
        <is>
          <t>df = n₁ + n₂ - 2</t>
        </is>
      </c>
      <c r="C166" s="10">
        <f>E43+F43-2</f>
        <v/>
      </c>
    </row>
    <row r="167">
      <c r="A167" t="inlineStr">
        <is>
          <t>6. P-value (two-tailed)</t>
        </is>
      </c>
      <c r="B167" t="inlineStr">
        <is>
          <t>P = 2 × P(T &gt; |t|)</t>
        </is>
      </c>
      <c r="C167" s="10">
        <f>_xlfn.T.DIST.2T(ABS(C165),C166)</f>
        <v/>
      </c>
    </row>
    <row r="168">
      <c r="A168" t="inlineStr">
        <is>
          <t>7. Critical t (α=0.05)</t>
        </is>
      </c>
      <c r="B168" t="inlineStr">
        <is>
          <t>t_crit for df at α=0.05</t>
        </is>
      </c>
      <c r="C168" s="10">
        <f>_xlfn.T.INV.2T(0.05,C166)</f>
        <v/>
      </c>
    </row>
    <row r="169">
      <c r="A169" t="inlineStr">
        <is>
          <t>8. Decision</t>
        </is>
      </c>
      <c r="C169">
        <f>IF(C167&lt;0.05,"REJECT H₀ - Significant difference","FAIL TO REJECT H₀ - No significant difference")</f>
        <v/>
      </c>
    </row>
    <row r="171">
      <c r="A171" s="2" t="inlineStr">
        <is>
          <t>95% CONFIDENCE INTERVAL FOR MEAN DIFFERENCE</t>
        </is>
      </c>
    </row>
    <row r="172">
      <c r="A172" s="41" t="inlineStr">
        <is>
          <t>Statistic</t>
        </is>
      </c>
      <c r="B172" s="41" t="inlineStr">
        <is>
          <t>Value</t>
        </is>
      </c>
    </row>
    <row r="173">
      <c r="A173" t="inlineStr">
        <is>
          <t>Lower Bound</t>
        </is>
      </c>
      <c r="B173" s="15">
        <f>C162-C168*C164</f>
        <v/>
      </c>
    </row>
    <row r="174">
      <c r="A174" t="inlineStr">
        <is>
          <t>Upper Bound</t>
        </is>
      </c>
      <c r="B174" s="15">
        <f>C162+C168*C164</f>
        <v/>
      </c>
    </row>
    <row r="175">
      <c r="A175" t="inlineStr">
        <is>
          <t>Interpretation</t>
        </is>
      </c>
      <c r="B175">
        <f>IF(AND(B173&lt;0,B174&gt;0),"CI includes 0: No significant difference","CI excludes 0: Significant difference")</f>
        <v/>
      </c>
    </row>
    <row r="178" ht="15.6" customHeight="1" s="61">
      <c r="A178" s="68" t="inlineStr">
        <is>
          <t>WELCH'S T-TEST (Unequal Variances)</t>
        </is>
      </c>
    </row>
    <row r="179">
      <c r="A179" s="41" t="inlineStr">
        <is>
          <t>Step</t>
        </is>
      </c>
      <c r="B179" s="41" t="inlineStr">
        <is>
          <t>Formula/Calculation</t>
        </is>
      </c>
      <c r="C179" s="41" t="inlineStr">
        <is>
          <t>Value</t>
        </is>
      </c>
    </row>
    <row r="180">
      <c r="A180" t="inlineStr">
        <is>
          <t>1. Mean difference</t>
        </is>
      </c>
      <c r="B180" t="inlineStr">
        <is>
          <t>x̄₁ - x̄₂</t>
        </is>
      </c>
      <c r="C180" s="10">
        <f>E44-F44</f>
        <v/>
      </c>
    </row>
    <row r="181">
      <c r="A181" t="inlineStr">
        <is>
          <t>2. Welch Std Error</t>
        </is>
      </c>
      <c r="B181" t="inlineStr">
        <is>
          <t>SE = √(s₁²/n₁ + s₂²/n₂)</t>
        </is>
      </c>
      <c r="C181" s="10">
        <f>SQRT(E46/E43+F46/F43)</f>
        <v/>
      </c>
    </row>
    <row r="182">
      <c r="A182" t="inlineStr">
        <is>
          <t>3. T-statistic</t>
        </is>
      </c>
      <c r="B182" t="inlineStr">
        <is>
          <t>t = (x̄₁ - x̄₂) / SE</t>
        </is>
      </c>
      <c r="C182" s="10">
        <f>C180/C181</f>
        <v/>
      </c>
    </row>
    <row r="183">
      <c r="A183" t="inlineStr">
        <is>
          <t>4. Welch-Satterthwaite df</t>
        </is>
      </c>
      <c r="B183" t="inlineStr">
        <is>
          <t>Complex formula</t>
        </is>
      </c>
      <c r="C183" s="10">
        <f>(E46/E43+F46/F43)^2/((E46/E43)^2/(E43-1)+(F46/F43)^2/(F43-1))</f>
        <v/>
      </c>
    </row>
    <row r="184">
      <c r="A184" t="inlineStr">
        <is>
          <t>5. P-value (two-tailed)</t>
        </is>
      </c>
      <c r="B184" t="inlineStr">
        <is>
          <t>P = 2 × P(T &gt; |t|)</t>
        </is>
      </c>
      <c r="C184" s="10">
        <f>_xlfn.T.DIST.2T(ABS(C182),C183)</f>
        <v/>
      </c>
    </row>
    <row r="185">
      <c r="A185" t="inlineStr">
        <is>
          <t>6. Critical t (α=0.05)</t>
        </is>
      </c>
      <c r="B185" t="inlineStr">
        <is>
          <t>t_crit for Welch df</t>
        </is>
      </c>
      <c r="C185" s="10">
        <f>_xlfn.T.INV.2T(0.05,C183)</f>
        <v/>
      </c>
    </row>
    <row r="186">
      <c r="A186" t="inlineStr">
        <is>
          <t>7. Decision</t>
        </is>
      </c>
      <c r="C186">
        <f>IF(C184&lt;0.05,"REJECT H₀ - Significant difference","FAIL TO REJECT H₀ - No significant difference")</f>
        <v/>
      </c>
    </row>
    <row r="189">
      <c r="A189" s="2" t="inlineStr">
        <is>
          <t>EFFECT SIZE (Cohen's d)</t>
        </is>
      </c>
    </row>
    <row r="190">
      <c r="A190" s="41" t="inlineStr">
        <is>
          <t>Statistic</t>
        </is>
      </c>
      <c r="B190" s="41" t="inlineStr">
        <is>
          <t>Value</t>
        </is>
      </c>
    </row>
    <row r="191">
      <c r="A191" t="inlineStr">
        <is>
          <t>Pooled Std Dev</t>
        </is>
      </c>
      <c r="B191" s="10">
        <f>SQRT(((E43-1)*E45^2+(F43-1)*F45^2)/(E43+F43-2))</f>
        <v/>
      </c>
    </row>
    <row r="192">
      <c r="A192" t="inlineStr">
        <is>
          <t>Cohen's d</t>
        </is>
      </c>
      <c r="B192" s="10">
        <f>(E44-F44)/B191</f>
        <v/>
      </c>
    </row>
    <row r="193">
      <c r="A193" t="inlineStr">
        <is>
          <t>Effect Size Interpretation</t>
        </is>
      </c>
      <c r="B193">
        <f>IF(ABS(B192)&lt;0.2,"Negligible",IF(ABS(B192)&lt;0.5,"Small",IF(ABS(B192)&lt;0.8,"Medium","Large")))</f>
        <v/>
      </c>
    </row>
    <row r="195">
      <c r="A195" t="inlineStr">
        <is>
          <t>Reference: |d| &lt; 0.2 = Negligible, 0.2-0.5 = Small, 0.5-0.8 = Medium, &gt; 0.8 = Large</t>
        </is>
      </c>
    </row>
    <row r="200">
      <c r="A200" t="inlineStr">
        <is>
          <t>═══════════════════════════════════════════════════════════════════════════════</t>
        </is>
      </c>
    </row>
    <row r="201" ht="18" customHeight="1" s="61">
      <c r="A201" s="69" t="inlineStr">
        <is>
          <t>ANALYSIS 2: AGE BY MARITAL STATUS (Single vs Married)</t>
        </is>
      </c>
    </row>
    <row r="203">
      <c r="A203" s="63" t="inlineStr">
        <is>
          <t>Research Question: Is there a significant difference in age between single and married thalassemia carriers?</t>
        </is>
      </c>
    </row>
    <row r="206">
      <c r="A206" s="2" t="inlineStr">
        <is>
          <t>RAW DATA</t>
        </is>
      </c>
      <c r="D206" s="2" t="inlineStr">
        <is>
          <t>DESCRIPTIVE STATISTICS</t>
        </is>
      </c>
    </row>
    <row r="207">
      <c r="A207" s="46" t="inlineStr">
        <is>
          <t>Single Ages</t>
        </is>
      </c>
      <c r="B207" s="46" t="inlineStr">
        <is>
          <t>Married Ages</t>
        </is>
      </c>
      <c r="D207" s="42" t="inlineStr">
        <is>
          <t>Statistic</t>
        </is>
      </c>
      <c r="E207" s="42" t="inlineStr">
        <is>
          <t>Single</t>
        </is>
      </c>
      <c r="F207" s="42" t="inlineStr">
        <is>
          <t>Married</t>
        </is>
      </c>
    </row>
    <row r="208">
      <c r="A208" t="n">
        <v>29</v>
      </c>
      <c r="B208" t="n">
        <v>25</v>
      </c>
      <c r="D208" s="24" t="inlineStr">
        <is>
          <t>Sample Size (n)</t>
        </is>
      </c>
      <c r="E208" s="24">
        <f>COUNT(A208:A342)</f>
        <v/>
      </c>
      <c r="F208" s="24">
        <f>COUNT(B208:B342)</f>
        <v/>
      </c>
    </row>
    <row r="209">
      <c r="A209" t="n">
        <v>35</v>
      </c>
      <c r="B209" t="n">
        <v>49</v>
      </c>
      <c r="D209" s="24" t="inlineStr">
        <is>
          <t>Mean</t>
        </is>
      </c>
      <c r="E209" s="44">
        <f>AVERAGE(A208:A342)</f>
        <v/>
      </c>
      <c r="F209" s="44">
        <f>AVERAGE(B208:B342)</f>
        <v/>
      </c>
    </row>
    <row r="210">
      <c r="A210" t="n">
        <v>28</v>
      </c>
      <c r="B210" t="n">
        <v>38</v>
      </c>
      <c r="D210" s="24" t="inlineStr">
        <is>
          <t>Standard Deviation</t>
        </is>
      </c>
      <c r="E210" s="44">
        <f>_xlfn.STDEV.S(A208:A342)</f>
        <v/>
      </c>
      <c r="F210" s="44">
        <f>_xlfn.STDEV.S(B208:B342)</f>
        <v/>
      </c>
    </row>
    <row r="211">
      <c r="A211" t="n">
        <v>28</v>
      </c>
      <c r="B211" t="n">
        <v>43</v>
      </c>
      <c r="D211" s="24" t="inlineStr">
        <is>
          <t>Variance</t>
        </is>
      </c>
      <c r="E211" s="44">
        <f>_xlfn.VAR.S(A208:A342)</f>
        <v/>
      </c>
      <c r="F211" s="44">
        <f>_xlfn.VAR.S(B208:B342)</f>
        <v/>
      </c>
    </row>
    <row r="212">
      <c r="A212" t="n">
        <v>34</v>
      </c>
      <c r="B212" t="n">
        <v>51</v>
      </c>
      <c r="D212" s="24" t="inlineStr">
        <is>
          <t>Standard Error</t>
        </is>
      </c>
      <c r="E212" s="44">
        <f>F210/SQRT(E208)</f>
        <v/>
      </c>
      <c r="F212" s="44">
        <f>F210/SQRT(F208)</f>
        <v/>
      </c>
    </row>
    <row r="213">
      <c r="A213" t="n">
        <v>27</v>
      </c>
      <c r="B213" t="n">
        <v>34</v>
      </c>
      <c r="D213" s="24" t="inlineStr">
        <is>
          <t>Median</t>
        </is>
      </c>
      <c r="E213" s="44">
        <f>MEDIAN(A208:A342)</f>
        <v/>
      </c>
      <c r="F213" s="44">
        <f>MEDIAN(B208:B342)</f>
        <v/>
      </c>
    </row>
    <row r="214">
      <c r="A214" t="n">
        <v>26</v>
      </c>
      <c r="B214" t="n">
        <v>23</v>
      </c>
      <c r="D214" s="24" t="inlineStr">
        <is>
          <t>Minimum</t>
        </is>
      </c>
      <c r="E214" s="44">
        <f>MIN(A208:A342)</f>
        <v/>
      </c>
      <c r="F214" s="44">
        <f>MIN(B208:B342)</f>
        <v/>
      </c>
    </row>
    <row r="215">
      <c r="A215" t="n">
        <v>27</v>
      </c>
      <c r="B215" t="n">
        <v>32</v>
      </c>
      <c r="D215" s="24" t="inlineStr">
        <is>
          <t>Maximum</t>
        </is>
      </c>
      <c r="E215" s="44">
        <f>MAX(A208:A342)</f>
        <v/>
      </c>
      <c r="F215" s="44">
        <f>MAX(B208:B342)</f>
        <v/>
      </c>
    </row>
    <row r="216">
      <c r="A216" t="n">
        <v>21</v>
      </c>
      <c r="B216" t="n">
        <v>43</v>
      </c>
      <c r="D216" s="24" t="inlineStr">
        <is>
          <t>Range</t>
        </is>
      </c>
      <c r="E216" s="44">
        <f>E215-E214</f>
        <v/>
      </c>
      <c r="F216" s="44">
        <f>F215-F214</f>
        <v/>
      </c>
    </row>
    <row r="217">
      <c r="A217" t="n">
        <v>22</v>
      </c>
      <c r="B217" t="n">
        <v>34</v>
      </c>
      <c r="D217" s="24" t="inlineStr">
        <is>
          <t>Skewness</t>
        </is>
      </c>
      <c r="E217" s="44">
        <f>SKEW(A208:A342)</f>
        <v/>
      </c>
      <c r="F217" s="44">
        <f>SKEW(B208:B342)</f>
        <v/>
      </c>
    </row>
    <row r="218">
      <c r="A218" t="n">
        <v>24</v>
      </c>
      <c r="B218" t="n">
        <v>63</v>
      </c>
      <c r="D218" s="24" t="inlineStr">
        <is>
          <t>Kurtosis</t>
        </is>
      </c>
      <c r="E218" s="44">
        <f>KURT(A208:A342)</f>
        <v/>
      </c>
      <c r="F218" s="44">
        <f>KURT(B208:B342)</f>
        <v/>
      </c>
    </row>
    <row r="219">
      <c r="A219" t="n">
        <v>24</v>
      </c>
      <c r="B219" t="n">
        <v>43</v>
      </c>
    </row>
    <row r="220">
      <c r="A220" t="n">
        <v>26</v>
      </c>
      <c r="B220" t="n">
        <v>56</v>
      </c>
    </row>
    <row r="221">
      <c r="A221" t="n">
        <v>20</v>
      </c>
      <c r="B221" t="n">
        <v>46</v>
      </c>
      <c r="D221" s="2" t="inlineStr">
        <is>
          <t>ASSUMPTIONS TESTING</t>
        </is>
      </c>
    </row>
    <row r="222">
      <c r="A222" t="n">
        <v>23</v>
      </c>
      <c r="B222" t="n">
        <v>40</v>
      </c>
      <c r="D222" s="41" t="inlineStr">
        <is>
          <t>Test</t>
        </is>
      </c>
      <c r="E222" s="41" t="inlineStr">
        <is>
          <t>Result</t>
        </is>
      </c>
      <c r="F222" s="41" t="inlineStr">
        <is>
          <t>Interpretation</t>
        </is>
      </c>
    </row>
    <row r="223">
      <c r="A223" t="n">
        <v>24</v>
      </c>
      <c r="B223" t="n">
        <v>55</v>
      </c>
      <c r="D223" t="inlineStr">
        <is>
          <t>Normality (Skewness)</t>
        </is>
      </c>
      <c r="E223">
        <f>IF(AND(ABS(E217)&lt;2,ABS(F217)&lt;2),"PASS","FAIL")</f>
        <v/>
      </c>
      <c r="F223">
        <f>IF(AND(ABS(E217)&lt;2,ABS(F217)&lt;2),"Distribution approximately normal","Distribution may be non-normal")</f>
        <v/>
      </c>
    </row>
    <row r="224">
      <c r="A224" t="n">
        <v>22</v>
      </c>
      <c r="B224" t="n">
        <v>36</v>
      </c>
      <c r="D224" t="inlineStr">
        <is>
          <t>Sample Size Check</t>
        </is>
      </c>
      <c r="E224">
        <f>IF(AND(E208&gt;=30,F208&gt;=30),"PASS","CAUTION")</f>
        <v/>
      </c>
      <c r="F224">
        <f>IF(AND(E208&gt;=30,F208&gt;=30),"Large samples (n≥30), CLT applies","Small sample, check normality")</f>
        <v/>
      </c>
    </row>
    <row r="225">
      <c r="A225" t="n">
        <v>29</v>
      </c>
      <c r="B225" t="n">
        <v>53</v>
      </c>
    </row>
    <row r="226">
      <c r="A226" t="n">
        <v>27</v>
      </c>
      <c r="B226" t="n">
        <v>52</v>
      </c>
    </row>
    <row r="227">
      <c r="A227" t="n">
        <v>21</v>
      </c>
      <c r="B227" t="n">
        <v>50</v>
      </c>
      <c r="D227" s="2" t="inlineStr">
        <is>
          <t>LEVENE'S TEST (F-Test Approximation)</t>
        </is>
      </c>
    </row>
    <row r="228">
      <c r="A228" t="n">
        <v>24</v>
      </c>
      <c r="B228" t="n">
        <v>53</v>
      </c>
      <c r="D228" s="41" t="inlineStr">
        <is>
          <t>Statistic</t>
        </is>
      </c>
      <c r="E228" s="41" t="inlineStr">
        <is>
          <t>Value</t>
        </is>
      </c>
    </row>
    <row r="229">
      <c r="A229" t="n">
        <v>22</v>
      </c>
      <c r="B229" t="n">
        <v>47</v>
      </c>
      <c r="D229" t="inlineStr">
        <is>
          <t>F-ratio</t>
        </is>
      </c>
      <c r="E229">
        <f>MAX(E211,F211)/MIN(E211,F211)</f>
        <v/>
      </c>
    </row>
    <row r="230">
      <c r="A230" t="n">
        <v>23</v>
      </c>
      <c r="B230" t="n">
        <v>55</v>
      </c>
      <c r="D230" t="inlineStr">
        <is>
          <t>df1</t>
        </is>
      </c>
      <c r="E230">
        <f>E208-1</f>
        <v/>
      </c>
    </row>
    <row r="231">
      <c r="A231" t="n">
        <v>19</v>
      </c>
      <c r="B231" t="n">
        <v>38</v>
      </c>
      <c r="D231" t="inlineStr">
        <is>
          <t>df2</t>
        </is>
      </c>
      <c r="E231">
        <f>F208-1</f>
        <v/>
      </c>
    </row>
    <row r="232">
      <c r="A232" t="n">
        <v>25</v>
      </c>
      <c r="B232" t="n">
        <v>51</v>
      </c>
      <c r="D232" t="inlineStr">
        <is>
          <t>P-value</t>
        </is>
      </c>
      <c r="E232">
        <f>2*MIN(_xlfn.F.DIST(E229,E230,E231,TRUE),1-_xlfn.F.DIST(E229,E230,E231,TRUE))</f>
        <v/>
      </c>
    </row>
    <row r="233">
      <c r="A233" t="n">
        <v>22</v>
      </c>
      <c r="B233" t="n">
        <v>38</v>
      </c>
      <c r="D233" t="inlineStr">
        <is>
          <t>Variances Equal?</t>
        </is>
      </c>
      <c r="E233">
        <f>IF(E232&gt;0.05,"YES","NO - Use Welch's")</f>
        <v/>
      </c>
    </row>
    <row r="234">
      <c r="A234" t="n">
        <v>21</v>
      </c>
      <c r="B234" t="n">
        <v>27</v>
      </c>
    </row>
    <row r="235">
      <c r="A235" t="n">
        <v>22</v>
      </c>
      <c r="B235" t="n">
        <v>37</v>
      </c>
    </row>
    <row r="236">
      <c r="A236" t="n">
        <v>24</v>
      </c>
      <c r="B236" t="n">
        <v>30</v>
      </c>
    </row>
    <row r="237">
      <c r="A237" t="n">
        <v>26</v>
      </c>
      <c r="B237" t="n">
        <v>46</v>
      </c>
    </row>
    <row r="238">
      <c r="A238" t="n">
        <v>25</v>
      </c>
      <c r="B238" t="n">
        <v>39</v>
      </c>
    </row>
    <row r="239">
      <c r="A239" t="n">
        <v>25</v>
      </c>
      <c r="B239" t="n">
        <v>33</v>
      </c>
    </row>
    <row r="240">
      <c r="A240" t="n">
        <v>23</v>
      </c>
      <c r="B240" t="n">
        <v>35</v>
      </c>
    </row>
    <row r="241">
      <c r="A241" t="n">
        <v>24</v>
      </c>
      <c r="B241" t="n">
        <v>26</v>
      </c>
    </row>
    <row r="242">
      <c r="A242" t="n">
        <v>23</v>
      </c>
      <c r="B242" t="n">
        <v>33</v>
      </c>
    </row>
    <row r="243">
      <c r="A243" t="n">
        <v>19</v>
      </c>
      <c r="B243" t="n">
        <v>34</v>
      </c>
    </row>
    <row r="244">
      <c r="A244" t="n">
        <v>22</v>
      </c>
      <c r="B244" t="n">
        <v>38</v>
      </c>
    </row>
    <row r="245">
      <c r="A245" t="n">
        <v>24</v>
      </c>
      <c r="B245" t="n">
        <v>29</v>
      </c>
    </row>
    <row r="246">
      <c r="A246" t="n">
        <v>24</v>
      </c>
      <c r="B246" t="n">
        <v>49</v>
      </c>
    </row>
    <row r="247">
      <c r="A247" t="n">
        <v>26</v>
      </c>
      <c r="B247" t="n">
        <v>35</v>
      </c>
    </row>
    <row r="248">
      <c r="A248" t="n">
        <v>24</v>
      </c>
      <c r="B248" t="n">
        <v>39</v>
      </c>
    </row>
    <row r="249">
      <c r="A249" t="n">
        <v>21</v>
      </c>
      <c r="B249" t="n">
        <v>61</v>
      </c>
    </row>
    <row r="250">
      <c r="A250" t="n">
        <v>29</v>
      </c>
      <c r="B250" t="n">
        <v>56</v>
      </c>
    </row>
    <row r="251">
      <c r="A251" t="n">
        <v>29</v>
      </c>
      <c r="B251" t="n">
        <v>28</v>
      </c>
    </row>
    <row r="252">
      <c r="A252" t="n">
        <v>24</v>
      </c>
      <c r="B252" t="n">
        <v>37</v>
      </c>
    </row>
    <row r="253">
      <c r="A253" t="n">
        <v>20</v>
      </c>
      <c r="B253" t="n">
        <v>32</v>
      </c>
    </row>
    <row r="254">
      <c r="A254" t="n">
        <v>18</v>
      </c>
      <c r="B254" t="n">
        <v>33</v>
      </c>
    </row>
    <row r="255">
      <c r="A255" t="n">
        <v>18</v>
      </c>
      <c r="B255" t="n">
        <v>50</v>
      </c>
    </row>
    <row r="256">
      <c r="A256" t="n">
        <v>24</v>
      </c>
      <c r="B256" t="n">
        <v>48</v>
      </c>
    </row>
    <row r="257">
      <c r="A257" t="n">
        <v>33</v>
      </c>
      <c r="B257" t="n">
        <v>39</v>
      </c>
    </row>
    <row r="258">
      <c r="A258" t="n">
        <v>24</v>
      </c>
      <c r="B258" t="n">
        <v>23</v>
      </c>
    </row>
    <row r="259">
      <c r="A259" t="n">
        <v>25</v>
      </c>
      <c r="B259" t="n">
        <v>40</v>
      </c>
    </row>
    <row r="260">
      <c r="A260" t="n">
        <v>24</v>
      </c>
      <c r="B260" t="n">
        <v>30</v>
      </c>
    </row>
    <row r="261">
      <c r="A261" t="n">
        <v>22</v>
      </c>
      <c r="B261" t="n">
        <v>36</v>
      </c>
    </row>
    <row r="262">
      <c r="A262" t="n">
        <v>25</v>
      </c>
      <c r="B262" t="n">
        <v>38</v>
      </c>
    </row>
    <row r="263">
      <c r="A263" t="n">
        <v>27</v>
      </c>
      <c r="B263" t="n">
        <v>30</v>
      </c>
    </row>
    <row r="264">
      <c r="A264" t="n">
        <v>18</v>
      </c>
      <c r="B264" t="n">
        <v>39</v>
      </c>
    </row>
    <row r="265">
      <c r="A265" t="n">
        <v>24</v>
      </c>
      <c r="B265" t="n">
        <v>37</v>
      </c>
    </row>
    <row r="266">
      <c r="A266" t="n">
        <v>23</v>
      </c>
      <c r="B266" t="n">
        <v>40</v>
      </c>
    </row>
    <row r="267">
      <c r="A267" t="n">
        <v>24</v>
      </c>
      <c r="B267" t="n">
        <v>63</v>
      </c>
    </row>
    <row r="268">
      <c r="A268" t="n">
        <v>24</v>
      </c>
      <c r="B268" t="n">
        <v>28</v>
      </c>
    </row>
    <row r="269">
      <c r="A269" t="n">
        <v>24</v>
      </c>
      <c r="B269" t="n">
        <v>53</v>
      </c>
    </row>
    <row r="270">
      <c r="A270" t="n">
        <v>23</v>
      </c>
      <c r="B270" t="n">
        <v>41</v>
      </c>
    </row>
    <row r="271">
      <c r="A271" t="n">
        <v>24</v>
      </c>
      <c r="B271" t="n">
        <v>48</v>
      </c>
    </row>
    <row r="272">
      <c r="A272" t="n">
        <v>15</v>
      </c>
      <c r="B272" t="n">
        <v>29</v>
      </c>
    </row>
    <row r="273">
      <c r="A273" t="n">
        <v>24</v>
      </c>
      <c r="B273" t="n">
        <v>36</v>
      </c>
    </row>
    <row r="274">
      <c r="A274" t="n">
        <v>26</v>
      </c>
      <c r="B274" t="n">
        <v>31</v>
      </c>
    </row>
    <row r="275">
      <c r="A275" t="n">
        <v>19</v>
      </c>
      <c r="B275" t="n">
        <v>36</v>
      </c>
    </row>
    <row r="276">
      <c r="A276" t="n">
        <v>20</v>
      </c>
      <c r="B276" t="n">
        <v>39</v>
      </c>
    </row>
    <row r="277">
      <c r="A277" t="n">
        <v>20</v>
      </c>
      <c r="B277" t="n">
        <v>35</v>
      </c>
    </row>
    <row r="278">
      <c r="A278" t="n">
        <v>20</v>
      </c>
    </row>
    <row r="279">
      <c r="A279" t="n">
        <v>20</v>
      </c>
    </row>
    <row r="280">
      <c r="A280" t="n">
        <v>27</v>
      </c>
    </row>
    <row r="281">
      <c r="A281" t="n">
        <v>29</v>
      </c>
    </row>
    <row r="282">
      <c r="A282" t="n">
        <v>23</v>
      </c>
    </row>
    <row r="283">
      <c r="A283" t="n">
        <v>28</v>
      </c>
    </row>
    <row r="284">
      <c r="A284" t="n">
        <v>29</v>
      </c>
    </row>
    <row r="285">
      <c r="A285" t="n">
        <v>30</v>
      </c>
    </row>
    <row r="286">
      <c r="A286" t="n">
        <v>26</v>
      </c>
    </row>
    <row r="287">
      <c r="A287" t="n">
        <v>24</v>
      </c>
    </row>
    <row r="288">
      <c r="A288" t="n">
        <v>20</v>
      </c>
    </row>
    <row r="289">
      <c r="A289" t="n">
        <v>20</v>
      </c>
    </row>
    <row r="290">
      <c r="A290" t="n">
        <v>24</v>
      </c>
    </row>
    <row r="291">
      <c r="A291" t="n">
        <v>31</v>
      </c>
    </row>
    <row r="292">
      <c r="A292" t="n">
        <v>24</v>
      </c>
    </row>
    <row r="293">
      <c r="A293" t="n">
        <v>23</v>
      </c>
    </row>
    <row r="294">
      <c r="A294" t="n">
        <v>27</v>
      </c>
    </row>
    <row r="295">
      <c r="A295" t="n">
        <v>24</v>
      </c>
    </row>
    <row r="296">
      <c r="A296" t="n">
        <v>25</v>
      </c>
    </row>
    <row r="297">
      <c r="A297" t="n">
        <v>29</v>
      </c>
    </row>
    <row r="298">
      <c r="A298" t="n">
        <v>27</v>
      </c>
    </row>
    <row r="299">
      <c r="A299" t="n">
        <v>24</v>
      </c>
    </row>
    <row r="300">
      <c r="A300" t="n">
        <v>28</v>
      </c>
    </row>
    <row r="301">
      <c r="A301" t="n">
        <v>23</v>
      </c>
    </row>
    <row r="302">
      <c r="A302" t="n">
        <v>23</v>
      </c>
    </row>
    <row r="303">
      <c r="A303" t="n">
        <v>20</v>
      </c>
    </row>
    <row r="304">
      <c r="A304" t="n">
        <v>28</v>
      </c>
    </row>
    <row r="305">
      <c r="A305" t="n">
        <v>25</v>
      </c>
    </row>
    <row r="306">
      <c r="A306" t="n">
        <v>28</v>
      </c>
    </row>
    <row r="307">
      <c r="A307" t="n">
        <v>28</v>
      </c>
    </row>
    <row r="308">
      <c r="A308" t="n">
        <v>26</v>
      </c>
    </row>
    <row r="309">
      <c r="A309" t="n">
        <v>26</v>
      </c>
    </row>
    <row r="310">
      <c r="A310" t="n">
        <v>24</v>
      </c>
    </row>
    <row r="311">
      <c r="A311" t="n">
        <v>25</v>
      </c>
    </row>
    <row r="312">
      <c r="A312" t="n">
        <v>25</v>
      </c>
    </row>
    <row r="313">
      <c r="A313" t="n">
        <v>26</v>
      </c>
    </row>
    <row r="314">
      <c r="A314" t="n">
        <v>28</v>
      </c>
    </row>
    <row r="315">
      <c r="A315" t="n">
        <v>19</v>
      </c>
    </row>
    <row r="316">
      <c r="A316" t="n">
        <v>25</v>
      </c>
    </row>
    <row r="317">
      <c r="A317" t="n">
        <v>24</v>
      </c>
    </row>
    <row r="318">
      <c r="A318" t="n">
        <v>25</v>
      </c>
    </row>
    <row r="319">
      <c r="A319" t="n">
        <v>26</v>
      </c>
    </row>
    <row r="320">
      <c r="A320" t="n">
        <v>16</v>
      </c>
    </row>
    <row r="321">
      <c r="A321" t="n">
        <v>27</v>
      </c>
    </row>
    <row r="322">
      <c r="A322" t="n">
        <v>26</v>
      </c>
    </row>
    <row r="323">
      <c r="A323" t="n">
        <v>25</v>
      </c>
    </row>
    <row r="324">
      <c r="A324" t="n">
        <v>27</v>
      </c>
    </row>
    <row r="325">
      <c r="A325" t="n">
        <v>23</v>
      </c>
    </row>
    <row r="326">
      <c r="A326" t="n">
        <v>26</v>
      </c>
    </row>
    <row r="327">
      <c r="A327" t="n">
        <v>24</v>
      </c>
    </row>
    <row r="328">
      <c r="A328" t="n">
        <v>28</v>
      </c>
    </row>
    <row r="329">
      <c r="A329" t="n">
        <v>27</v>
      </c>
    </row>
    <row r="330">
      <c r="A330" t="n">
        <v>22</v>
      </c>
    </row>
    <row r="331">
      <c r="A331" t="n">
        <v>25</v>
      </c>
    </row>
    <row r="332">
      <c r="A332" t="n">
        <v>27</v>
      </c>
    </row>
    <row r="333">
      <c r="A333" t="n">
        <v>23</v>
      </c>
    </row>
    <row r="334">
      <c r="A334" t="n">
        <v>25</v>
      </c>
    </row>
    <row r="335">
      <c r="A335" t="n">
        <v>28</v>
      </c>
    </row>
    <row r="336">
      <c r="A336" t="n">
        <v>26</v>
      </c>
    </row>
    <row r="337">
      <c r="A337" t="n">
        <v>20</v>
      </c>
    </row>
    <row r="338">
      <c r="A338" t="n">
        <v>24</v>
      </c>
    </row>
    <row r="346" ht="15.6" customHeight="1" s="61">
      <c r="A346" s="67" t="inlineStr">
        <is>
          <t>INDEPENDENT SAMPLES T-TEST (Pooled Variance) - Marital Status</t>
        </is>
      </c>
    </row>
    <row r="347">
      <c r="A347" s="41" t="inlineStr">
        <is>
          <t>Step</t>
        </is>
      </c>
      <c r="B347" s="41" t="inlineStr">
        <is>
          <t>Formula/Calculation</t>
        </is>
      </c>
      <c r="C347" s="41" t="inlineStr">
        <is>
          <t>Value</t>
        </is>
      </c>
    </row>
    <row r="348">
      <c r="A348" t="inlineStr">
        <is>
          <t>1. Mean difference</t>
        </is>
      </c>
      <c r="B348" t="inlineStr">
        <is>
          <t>x̄₁ - x̄₂</t>
        </is>
      </c>
      <c r="C348" s="10">
        <f>E209-F209</f>
        <v/>
      </c>
    </row>
    <row r="349">
      <c r="A349" t="inlineStr">
        <is>
          <t>2. Pooled Variance</t>
        </is>
      </c>
      <c r="B349" t="inlineStr">
        <is>
          <t>Sp²</t>
        </is>
      </c>
      <c r="C349" s="10">
        <f>((E208-1)*E211+(F208-1)*F211)/(E208+F208-2)</f>
        <v/>
      </c>
    </row>
    <row r="350">
      <c r="A350" t="inlineStr">
        <is>
          <t>3. Pooled Std Error</t>
        </is>
      </c>
      <c r="B350" t="inlineStr">
        <is>
          <t>SE</t>
        </is>
      </c>
      <c r="C350" s="10">
        <f>SQRT(C349*(1/E208+1/F208))</f>
        <v/>
      </c>
    </row>
    <row r="351">
      <c r="A351" t="inlineStr">
        <is>
          <t>4. T-statistic</t>
        </is>
      </c>
      <c r="B351" t="inlineStr">
        <is>
          <t>t</t>
        </is>
      </c>
      <c r="C351" s="10">
        <f>C348/C350</f>
        <v/>
      </c>
    </row>
    <row r="352">
      <c r="A352" t="inlineStr">
        <is>
          <t>5. Degrees of Freedom</t>
        </is>
      </c>
      <c r="B352" t="inlineStr">
        <is>
          <t>df</t>
        </is>
      </c>
      <c r="C352" s="10">
        <f>E208+F208-2</f>
        <v/>
      </c>
    </row>
    <row r="353">
      <c r="A353" t="inlineStr">
        <is>
          <t>6. P-value (two-tailed)</t>
        </is>
      </c>
      <c r="B353" t="inlineStr">
        <is>
          <t>P</t>
        </is>
      </c>
      <c r="C353" s="10">
        <f>_xlfn.T.DIST.2T(ABS(C351),C352)</f>
        <v/>
      </c>
    </row>
    <row r="354">
      <c r="A354" t="inlineStr">
        <is>
          <t>7. Critical t (α=0.05)</t>
        </is>
      </c>
      <c r="B354" t="inlineStr">
        <is>
          <t>t_crit</t>
        </is>
      </c>
      <c r="C354" s="10">
        <f>_xlfn.T.INV.2T(0.05,C352)</f>
        <v/>
      </c>
    </row>
    <row r="355">
      <c r="A355" t="inlineStr">
        <is>
          <t>8. Decision</t>
        </is>
      </c>
      <c r="C355">
        <f>IF(C353&lt;0.05,"REJECT H₀ - Significant difference","FAIL TO REJECT H₀")</f>
        <v/>
      </c>
    </row>
    <row r="357">
      <c r="A357" s="2" t="inlineStr">
        <is>
          <t>95% CONFIDENCE INTERVAL</t>
        </is>
      </c>
    </row>
    <row r="358">
      <c r="A358" s="41" t="inlineStr">
        <is>
          <t>Statistic</t>
        </is>
      </c>
      <c r="B358" s="41" t="inlineStr">
        <is>
          <t>Value</t>
        </is>
      </c>
    </row>
    <row r="359">
      <c r="A359" t="inlineStr">
        <is>
          <t>Lower Bound</t>
        </is>
      </c>
      <c r="B359">
        <f>C348-C354*C350</f>
        <v/>
      </c>
    </row>
    <row r="360">
      <c r="A360" t="inlineStr">
        <is>
          <t>Upper Bound</t>
        </is>
      </c>
      <c r="B360">
        <f>C348+C354*C350</f>
        <v/>
      </c>
    </row>
    <row r="361">
      <c r="A361" t="inlineStr">
        <is>
          <t>Interpretation</t>
        </is>
      </c>
      <c r="B361">
        <f>IF(AND(B359&lt;0,B360&gt;0),"CI includes 0: No significant difference","CI excludes 0: Significant difference")</f>
        <v/>
      </c>
    </row>
    <row r="364">
      <c r="A364" s="70" t="inlineStr">
        <is>
          <t>WELCH'S T-TEST (Unequal Variances) - Marital Status</t>
        </is>
      </c>
    </row>
    <row r="365">
      <c r="A365" s="41" t="inlineStr">
        <is>
          <t>Step</t>
        </is>
      </c>
      <c r="B365" s="41" t="inlineStr">
        <is>
          <t>Formula/Calculation</t>
        </is>
      </c>
      <c r="C365" s="41" t="inlineStr">
        <is>
          <t>Value</t>
        </is>
      </c>
    </row>
    <row r="366">
      <c r="A366" t="inlineStr">
        <is>
          <t>1. Mean difference</t>
        </is>
      </c>
      <c r="B366" t="inlineStr">
        <is>
          <t>x̄₁ - x̄₂</t>
        </is>
      </c>
      <c r="C366" s="10">
        <f>E209-F209</f>
        <v/>
      </c>
    </row>
    <row r="367">
      <c r="A367" t="inlineStr">
        <is>
          <t>2. Welch Std Error</t>
        </is>
      </c>
      <c r="B367" t="inlineStr">
        <is>
          <t>SE</t>
        </is>
      </c>
      <c r="C367" s="10">
        <f>SQRT(E211/E208+F211/F208)</f>
        <v/>
      </c>
    </row>
    <row r="368">
      <c r="A368" t="inlineStr">
        <is>
          <t>3. T-statistic</t>
        </is>
      </c>
      <c r="B368" t="inlineStr">
        <is>
          <t>t</t>
        </is>
      </c>
      <c r="C368" s="10">
        <f>C366/C367</f>
        <v/>
      </c>
    </row>
    <row r="369">
      <c r="A369" t="inlineStr">
        <is>
          <t>4. Welch df</t>
        </is>
      </c>
      <c r="B369" t="inlineStr">
        <is>
          <t>df</t>
        </is>
      </c>
      <c r="C369" s="10">
        <f>(E211/E208+F211/F208)^2/((E211/E208)^2/(E208-1)+(F211/F208)^2/(F208-1))</f>
        <v/>
      </c>
    </row>
    <row r="370">
      <c r="A370" t="inlineStr">
        <is>
          <t>5. P-value (two-tailed)</t>
        </is>
      </c>
      <c r="B370" t="inlineStr">
        <is>
          <t>P</t>
        </is>
      </c>
      <c r="C370" s="10">
        <f>_xlfn.T.DIST.2T(ABS(C368),C369)</f>
        <v/>
      </c>
    </row>
    <row r="371">
      <c r="A371" t="inlineStr">
        <is>
          <t>6. Critical t</t>
        </is>
      </c>
      <c r="B371" t="inlineStr">
        <is>
          <t>t_crit</t>
        </is>
      </c>
      <c r="C371" s="10">
        <f>_xlfn.T.INV.2T(0.05,C369)</f>
        <v/>
      </c>
    </row>
    <row r="372">
      <c r="A372" t="inlineStr">
        <is>
          <t>7. Decision</t>
        </is>
      </c>
      <c r="C372">
        <f>IF(C370&lt;0.05,"REJECT H₀ - Significant difference","FAIL TO REJECT H₀")</f>
        <v/>
      </c>
    </row>
    <row r="375">
      <c r="A375" s="2" t="inlineStr">
        <is>
          <t>EFFECT SIZE (Cohen's d) - Marital Status</t>
        </is>
      </c>
    </row>
    <row r="376">
      <c r="A376" s="41" t="inlineStr">
        <is>
          <t>Statistic</t>
        </is>
      </c>
      <c r="B376" s="41" t="inlineStr">
        <is>
          <t>Value</t>
        </is>
      </c>
    </row>
    <row r="377">
      <c r="A377" t="inlineStr">
        <is>
          <t>Pooled Std Dev</t>
        </is>
      </c>
      <c r="B377" s="10">
        <f>SQRT(((E208-1)*E210^2+(F208-1)*F210^2)/(E208+F208-2))</f>
        <v/>
      </c>
    </row>
    <row r="378">
      <c r="A378" t="inlineStr">
        <is>
          <t>Cohen's d</t>
        </is>
      </c>
      <c r="B378" s="10">
        <f>(E209-F209)/B377</f>
        <v/>
      </c>
    </row>
    <row r="379">
      <c r="A379" t="inlineStr">
        <is>
          <t>Effect Size</t>
        </is>
      </c>
      <c r="B379">
        <f>IF(ABS(B378)&lt;0.2,"Negligible",IF(ABS(B378)&lt;0.5,"Small",IF(ABS(B378)&lt;0.8,"Medium","Large")))</f>
        <v/>
      </c>
    </row>
    <row r="385">
      <c r="A385" t="inlineStr">
        <is>
          <t>═══════════════════════════════════════════════════════════════════════════════</t>
        </is>
      </c>
    </row>
    <row r="386" ht="18" customHeight="1" s="61">
      <c r="A386" s="71" t="inlineStr">
        <is>
          <t>ANALYSIS 3: AGE BY FAMILY HISTORY (Yes vs No)</t>
        </is>
      </c>
    </row>
    <row r="388">
      <c r="A388" s="63" t="inlineStr">
        <is>
          <t>Research Question: Is there a significant difference in age between carriers with and without family history of blood disorders?</t>
        </is>
      </c>
    </row>
    <row r="391">
      <c r="A391" s="2" t="inlineStr">
        <is>
          <t>RAW DATA</t>
        </is>
      </c>
      <c r="D391" s="2" t="inlineStr">
        <is>
          <t>DESCRIPTIVE STATISTICS</t>
        </is>
      </c>
    </row>
    <row r="392">
      <c r="A392" s="47" t="inlineStr">
        <is>
          <t>Family History Yes</t>
        </is>
      </c>
      <c r="B392" s="47" t="inlineStr">
        <is>
          <t>Family History No</t>
        </is>
      </c>
      <c r="D392" s="42" t="inlineStr">
        <is>
          <t>Statistic</t>
        </is>
      </c>
      <c r="E392" s="42" t="inlineStr">
        <is>
          <t>Family Hx Yes</t>
        </is>
      </c>
      <c r="F392" s="42" t="inlineStr">
        <is>
          <t>Family Hx No</t>
        </is>
      </c>
    </row>
    <row r="393">
      <c r="A393" t="n">
        <v>34</v>
      </c>
      <c r="B393" t="n">
        <v>29</v>
      </c>
      <c r="D393" s="24" t="inlineStr">
        <is>
          <t>Sample Size (n)</t>
        </is>
      </c>
      <c r="E393" s="24">
        <f>COUNT(A393:A532)</f>
        <v/>
      </c>
      <c r="F393" s="24">
        <f>COUNT(B393:B532)</f>
        <v/>
      </c>
    </row>
    <row r="394">
      <c r="A394" t="n">
        <v>27</v>
      </c>
      <c r="B394" t="n">
        <v>25</v>
      </c>
      <c r="D394" s="24" t="inlineStr">
        <is>
          <t>Mean</t>
        </is>
      </c>
      <c r="E394" s="44">
        <f>AVERAGE(A393:A532)</f>
        <v/>
      </c>
      <c r="F394" s="44">
        <f>AVERAGE(B393:B532)</f>
        <v/>
      </c>
    </row>
    <row r="395">
      <c r="A395" t="n">
        <v>24</v>
      </c>
      <c r="B395" t="n">
        <v>35</v>
      </c>
      <c r="D395" s="24" t="inlineStr">
        <is>
          <t>Standard Deviation</t>
        </is>
      </c>
      <c r="E395" s="44">
        <f>_xlfn.STDEV.S(A393:A532)</f>
        <v/>
      </c>
      <c r="F395" s="44">
        <f>_xlfn.STDEV.S(B393:B532)</f>
        <v/>
      </c>
    </row>
    <row r="396">
      <c r="A396" t="n">
        <v>23</v>
      </c>
      <c r="B396" t="n">
        <v>28</v>
      </c>
      <c r="D396" s="24" t="inlineStr">
        <is>
          <t>Variance</t>
        </is>
      </c>
      <c r="E396" s="44">
        <f>_xlfn.VAR.S(A393:A532)</f>
        <v/>
      </c>
      <c r="F396" s="44">
        <f>_xlfn.VAR.S(B393:B532)</f>
        <v/>
      </c>
    </row>
    <row r="397">
      <c r="A397" t="n">
        <v>24</v>
      </c>
      <c r="B397" t="n">
        <v>27</v>
      </c>
      <c r="D397" s="24" t="inlineStr">
        <is>
          <t>Standard Error</t>
        </is>
      </c>
      <c r="E397" s="44">
        <f>E395/SQRT(E393)</f>
        <v/>
      </c>
      <c r="F397" s="44">
        <f>F395/SQRT(F393)</f>
        <v/>
      </c>
    </row>
    <row r="398">
      <c r="A398" t="n">
        <v>43</v>
      </c>
      <c r="B398" t="n">
        <v>26</v>
      </c>
      <c r="D398" s="24" t="inlineStr">
        <is>
          <t>Median</t>
        </is>
      </c>
      <c r="E398" s="44">
        <f>MEDIAN(A393:A532)</f>
        <v/>
      </c>
      <c r="F398" s="44">
        <f>MEDIAN(B393:B532)</f>
        <v/>
      </c>
    </row>
    <row r="399">
      <c r="A399" t="n">
        <v>27</v>
      </c>
      <c r="B399" t="n">
        <v>49</v>
      </c>
      <c r="D399" s="24" t="inlineStr">
        <is>
          <t>Minimum</t>
        </is>
      </c>
      <c r="E399" s="44">
        <f>MIN(A393:A532)</f>
        <v/>
      </c>
      <c r="F399" s="44">
        <f>MIN(B393:B532)</f>
        <v/>
      </c>
    </row>
    <row r="400">
      <c r="A400" t="n">
        <v>21</v>
      </c>
      <c r="B400" t="n">
        <v>21</v>
      </c>
      <c r="D400" s="24" t="inlineStr">
        <is>
          <t>Maximum</t>
        </is>
      </c>
      <c r="E400" s="44">
        <f>MAX(A393:A532)</f>
        <v/>
      </c>
      <c r="F400" s="44">
        <f>MAX(B393:B532)</f>
        <v/>
      </c>
    </row>
    <row r="401">
      <c r="A401" t="n">
        <v>51</v>
      </c>
      <c r="B401" t="n">
        <v>22</v>
      </c>
      <c r="D401" s="24" t="inlineStr">
        <is>
          <t>Range</t>
        </is>
      </c>
      <c r="E401" s="44">
        <f>E400-E399</f>
        <v/>
      </c>
      <c r="F401" s="44">
        <f>F400-F399</f>
        <v/>
      </c>
    </row>
    <row r="402">
      <c r="A402" t="n">
        <v>43</v>
      </c>
      <c r="B402" t="n">
        <v>38</v>
      </c>
      <c r="D402" s="24" t="inlineStr">
        <is>
          <t>Skewness</t>
        </is>
      </c>
      <c r="E402" s="44">
        <f>SKEW(A393:A532)</f>
        <v/>
      </c>
      <c r="F402" s="44">
        <f>SKEW(B393:B532)</f>
        <v/>
      </c>
    </row>
    <row r="403">
      <c r="A403" t="n">
        <v>34</v>
      </c>
      <c r="B403" t="n">
        <v>20</v>
      </c>
      <c r="D403" s="24" t="inlineStr">
        <is>
          <t>Kurtosis</t>
        </is>
      </c>
      <c r="E403" s="44">
        <f>KURT(A393:A532)</f>
        <v/>
      </c>
      <c r="F403" s="44">
        <f>KURT(B393:B532)</f>
        <v/>
      </c>
    </row>
    <row r="404">
      <c r="A404" t="n">
        <v>19</v>
      </c>
      <c r="B404" t="n">
        <v>22</v>
      </c>
    </row>
    <row r="405">
      <c r="A405" t="n">
        <v>25</v>
      </c>
      <c r="B405" t="n">
        <v>24</v>
      </c>
    </row>
    <row r="406">
      <c r="A406" t="n">
        <v>63</v>
      </c>
      <c r="B406" t="n">
        <v>34</v>
      </c>
      <c r="D406" s="2" t="inlineStr">
        <is>
          <t>ASSUMPTIONS TESTING</t>
        </is>
      </c>
    </row>
    <row r="407">
      <c r="A407" t="n">
        <v>56</v>
      </c>
      <c r="B407" t="n">
        <v>23</v>
      </c>
      <c r="D407" s="41" t="inlineStr">
        <is>
          <t>Test</t>
        </is>
      </c>
      <c r="E407" s="41" t="inlineStr">
        <is>
          <t>Result</t>
        </is>
      </c>
      <c r="F407" s="41" t="inlineStr">
        <is>
          <t>Interpretation</t>
        </is>
      </c>
    </row>
    <row r="408">
      <c r="A408" t="n">
        <v>24</v>
      </c>
      <c r="B408" t="n">
        <v>22</v>
      </c>
      <c r="D408" t="inlineStr">
        <is>
          <t>Normality (Skewness)</t>
        </is>
      </c>
      <c r="E408">
        <f>IF(AND(ABS(E402)&lt;2,ABS(F402)&lt;2),"PASS","FAIL")</f>
        <v/>
      </c>
      <c r="F408" t="inlineStr">
        <is>
          <t>Skewness within acceptable range</t>
        </is>
      </c>
    </row>
    <row r="409">
      <c r="A409" t="n">
        <v>26</v>
      </c>
      <c r="B409" t="n">
        <v>32</v>
      </c>
      <c r="D409" t="inlineStr">
        <is>
          <t>Sample Size Check</t>
        </is>
      </c>
      <c r="E409">
        <f>IF(AND(E393&gt;=30,F393&gt;=30),"PASS","CAUTION")</f>
        <v/>
      </c>
      <c r="F409">
        <f>IF(AND(E393&gt;=30,F393&gt;=30),"Large samples","One group has n&lt;30")</f>
        <v/>
      </c>
    </row>
    <row r="410">
      <c r="A410" t="n">
        <v>25</v>
      </c>
      <c r="B410" t="n">
        <v>23</v>
      </c>
    </row>
    <row r="411">
      <c r="A411" t="n">
        <v>25</v>
      </c>
      <c r="B411" t="n">
        <v>22</v>
      </c>
    </row>
    <row r="412">
      <c r="A412" t="n">
        <v>29</v>
      </c>
      <c r="B412" t="n">
        <v>21</v>
      </c>
      <c r="D412" s="2" t="inlineStr">
        <is>
          <t>LEVENE'S TEST (F-Test)</t>
        </is>
      </c>
    </row>
    <row r="413">
      <c r="A413" t="n">
        <v>29</v>
      </c>
      <c r="B413" t="n">
        <v>43</v>
      </c>
      <c r="D413" s="41" t="inlineStr">
        <is>
          <t>Statistic</t>
        </is>
      </c>
      <c r="E413" s="41" t="inlineStr">
        <is>
          <t>Value</t>
        </is>
      </c>
    </row>
    <row r="414">
      <c r="A414" t="n">
        <v>52</v>
      </c>
      <c r="B414" t="n">
        <v>40</v>
      </c>
      <c r="D414" t="inlineStr">
        <is>
          <t>F-ratio</t>
        </is>
      </c>
      <c r="E414">
        <f>MAX(E396,F396)/MIN(E396,F396)</f>
        <v/>
      </c>
    </row>
    <row r="415">
      <c r="A415" t="n">
        <v>27</v>
      </c>
      <c r="B415" t="n">
        <v>55</v>
      </c>
      <c r="D415" t="inlineStr">
        <is>
          <t>df1</t>
        </is>
      </c>
      <c r="E415">
        <f>E393-1</f>
        <v/>
      </c>
    </row>
    <row r="416">
      <c r="A416" t="n">
        <v>51</v>
      </c>
      <c r="B416" t="n">
        <v>23</v>
      </c>
      <c r="D416" t="inlineStr">
        <is>
          <t>df2</t>
        </is>
      </c>
      <c r="E416">
        <f>F393-1</f>
        <v/>
      </c>
    </row>
    <row r="417">
      <c r="A417" t="n">
        <v>18</v>
      </c>
      <c r="B417" t="n">
        <v>24</v>
      </c>
      <c r="D417" t="inlineStr">
        <is>
          <t>P-value</t>
        </is>
      </c>
      <c r="E417">
        <f>2*MIN(_xlfn.F.DIST(E414,E415,E416,TRUE),1-_xlfn.F.DIST(E414,E415,E416,TRUE))</f>
        <v/>
      </c>
    </row>
    <row r="418">
      <c r="A418" t="n">
        <v>38</v>
      </c>
      <c r="B418" t="n">
        <v>23</v>
      </c>
      <c r="D418" t="inlineStr">
        <is>
          <t>Equal Variances?</t>
        </is>
      </c>
      <c r="E418">
        <f>IF(E417&gt;0.05,"YES","NO - Use Welch's")</f>
        <v/>
      </c>
    </row>
    <row r="419">
      <c r="A419" t="n">
        <v>37</v>
      </c>
      <c r="B419" t="n">
        <v>19</v>
      </c>
    </row>
    <row r="420">
      <c r="A420" t="n">
        <v>27</v>
      </c>
      <c r="B420" t="n">
        <v>22</v>
      </c>
    </row>
    <row r="421">
      <c r="A421" t="n">
        <v>31</v>
      </c>
      <c r="B421" t="n">
        <v>24</v>
      </c>
    </row>
    <row r="422">
      <c r="A422" t="n">
        <v>26</v>
      </c>
      <c r="B422" t="n">
        <v>24</v>
      </c>
    </row>
    <row r="423">
      <c r="A423" t="n">
        <v>27</v>
      </c>
      <c r="B423" t="n">
        <v>26</v>
      </c>
    </row>
    <row r="424">
      <c r="A424" t="n">
        <v>40</v>
      </c>
      <c r="B424" t="n">
        <v>24</v>
      </c>
    </row>
    <row r="425">
      <c r="A425" t="n">
        <v>30</v>
      </c>
      <c r="B425" t="n">
        <v>21</v>
      </c>
    </row>
    <row r="426">
      <c r="A426" t="n">
        <v>27</v>
      </c>
      <c r="B426" t="n">
        <v>36</v>
      </c>
    </row>
    <row r="427">
      <c r="A427" t="n">
        <v>39</v>
      </c>
      <c r="B427" t="n">
        <v>53</v>
      </c>
    </row>
    <row r="428">
      <c r="A428" t="n">
        <v>28</v>
      </c>
      <c r="B428" t="n">
        <v>20</v>
      </c>
    </row>
    <row r="429">
      <c r="A429" t="n">
        <v>25</v>
      </c>
      <c r="B429" t="n">
        <v>50</v>
      </c>
    </row>
    <row r="430">
      <c r="A430" t="n">
        <v>28</v>
      </c>
      <c r="B430" t="n">
        <v>24</v>
      </c>
    </row>
    <row r="431">
      <c r="A431" t="n">
        <v>29</v>
      </c>
      <c r="B431" t="n">
        <v>25</v>
      </c>
    </row>
    <row r="432">
      <c r="B432" t="n">
        <v>24</v>
      </c>
    </row>
    <row r="433">
      <c r="B433" t="n">
        <v>25</v>
      </c>
    </row>
    <row r="434">
      <c r="B434" t="n">
        <v>47</v>
      </c>
    </row>
    <row r="435">
      <c r="B435" t="n">
        <v>38</v>
      </c>
    </row>
    <row r="436">
      <c r="B436" t="n">
        <v>24</v>
      </c>
    </row>
    <row r="437">
      <c r="B437" t="n">
        <v>23</v>
      </c>
    </row>
    <row r="438">
      <c r="B438" t="n">
        <v>27</v>
      </c>
    </row>
    <row r="439">
      <c r="B439" t="n">
        <v>30</v>
      </c>
    </row>
    <row r="440">
      <c r="B440" t="n">
        <v>46</v>
      </c>
    </row>
    <row r="441">
      <c r="B441" t="n">
        <v>24</v>
      </c>
    </row>
    <row r="442">
      <c r="B442" t="n">
        <v>24</v>
      </c>
    </row>
    <row r="443">
      <c r="B443" t="n">
        <v>24</v>
      </c>
    </row>
    <row r="444">
      <c r="B444" t="n">
        <v>23</v>
      </c>
    </row>
    <row r="445">
      <c r="B445" t="n">
        <v>24</v>
      </c>
    </row>
    <row r="446">
      <c r="B446" t="n">
        <v>15</v>
      </c>
    </row>
    <row r="447">
      <c r="B447" t="n">
        <v>24</v>
      </c>
    </row>
    <row r="448">
      <c r="B448" t="n">
        <v>39</v>
      </c>
    </row>
    <row r="449">
      <c r="B449" t="n">
        <v>26</v>
      </c>
    </row>
    <row r="450">
      <c r="B450" t="n">
        <v>19</v>
      </c>
    </row>
    <row r="451">
      <c r="B451" t="n">
        <v>33</v>
      </c>
    </row>
    <row r="452">
      <c r="B452" t="n">
        <v>35</v>
      </c>
    </row>
    <row r="453">
      <c r="B453" t="n">
        <v>20</v>
      </c>
    </row>
    <row r="454">
      <c r="B454" t="n">
        <v>20</v>
      </c>
    </row>
    <row r="455">
      <c r="B455" t="n">
        <v>20</v>
      </c>
    </row>
    <row r="456">
      <c r="B456" t="n">
        <v>26</v>
      </c>
    </row>
    <row r="457">
      <c r="B457" t="n">
        <v>29</v>
      </c>
    </row>
    <row r="458">
      <c r="B458" t="n">
        <v>28</v>
      </c>
    </row>
    <row r="459">
      <c r="B459" t="n">
        <v>29</v>
      </c>
    </row>
    <row r="460">
      <c r="B460" t="n">
        <v>30</v>
      </c>
    </row>
    <row r="461">
      <c r="B461" t="n">
        <v>33</v>
      </c>
    </row>
    <row r="462">
      <c r="B462" t="n">
        <v>26</v>
      </c>
    </row>
    <row r="463">
      <c r="B463" t="n">
        <v>24</v>
      </c>
    </row>
    <row r="464">
      <c r="B464" t="n">
        <v>20</v>
      </c>
    </row>
    <row r="465">
      <c r="B465" t="n">
        <v>34</v>
      </c>
    </row>
    <row r="466">
      <c r="B466" t="n">
        <v>20</v>
      </c>
    </row>
    <row r="467">
      <c r="B467" t="n">
        <v>24</v>
      </c>
    </row>
    <row r="468">
      <c r="B468" t="n">
        <v>29</v>
      </c>
    </row>
    <row r="469">
      <c r="B469" t="n">
        <v>49</v>
      </c>
    </row>
    <row r="470">
      <c r="B470" t="n">
        <v>24</v>
      </c>
    </row>
    <row r="471">
      <c r="B471" t="n">
        <v>23</v>
      </c>
    </row>
    <row r="472">
      <c r="B472" t="n">
        <v>27</v>
      </c>
    </row>
    <row r="473">
      <c r="B473" t="n">
        <v>35</v>
      </c>
    </row>
    <row r="474">
      <c r="B474" t="n">
        <v>61</v>
      </c>
    </row>
    <row r="475">
      <c r="B475" t="n">
        <v>56</v>
      </c>
    </row>
    <row r="476">
      <c r="B476" t="n">
        <v>24</v>
      </c>
    </row>
    <row r="477">
      <c r="B477" t="n">
        <v>29</v>
      </c>
    </row>
    <row r="478">
      <c r="B478" t="n">
        <v>24</v>
      </c>
    </row>
    <row r="479">
      <c r="B479" t="n">
        <v>28</v>
      </c>
    </row>
    <row r="480">
      <c r="B480" t="n">
        <v>32</v>
      </c>
    </row>
    <row r="481">
      <c r="B481" t="n">
        <v>33</v>
      </c>
    </row>
    <row r="482">
      <c r="B482" t="n">
        <v>23</v>
      </c>
    </row>
    <row r="483">
      <c r="B483" t="n">
        <v>23</v>
      </c>
    </row>
    <row r="484">
      <c r="B484" t="n">
        <v>20</v>
      </c>
    </row>
    <row r="485">
      <c r="B485" t="n">
        <v>28</v>
      </c>
    </row>
    <row r="486">
      <c r="B486" t="n">
        <v>25</v>
      </c>
    </row>
    <row r="487">
      <c r="B487" t="n">
        <v>28</v>
      </c>
    </row>
    <row r="488">
      <c r="B488" t="n">
        <v>28</v>
      </c>
    </row>
    <row r="489">
      <c r="B489" t="n">
        <v>26</v>
      </c>
    </row>
    <row r="490">
      <c r="B490" t="n">
        <v>26</v>
      </c>
    </row>
    <row r="491">
      <c r="B491" t="n">
        <v>24</v>
      </c>
    </row>
    <row r="492">
      <c r="B492" t="n">
        <v>25</v>
      </c>
    </row>
    <row r="493">
      <c r="B493" t="n">
        <v>25</v>
      </c>
    </row>
    <row r="494">
      <c r="B494" t="n">
        <v>26</v>
      </c>
    </row>
    <row r="495">
      <c r="B495" t="n">
        <v>28</v>
      </c>
    </row>
    <row r="496">
      <c r="B496" t="n">
        <v>19</v>
      </c>
    </row>
    <row r="497">
      <c r="B497" t="n">
        <v>25</v>
      </c>
    </row>
    <row r="498">
      <c r="B498" t="n">
        <v>24</v>
      </c>
    </row>
    <row r="499">
      <c r="B499" t="n">
        <v>50</v>
      </c>
    </row>
    <row r="500">
      <c r="B500" t="n">
        <v>25</v>
      </c>
    </row>
    <row r="501">
      <c r="B501" t="n">
        <v>48</v>
      </c>
    </row>
    <row r="502">
      <c r="B502" t="n">
        <v>39</v>
      </c>
    </row>
    <row r="503">
      <c r="B503" t="n">
        <v>16</v>
      </c>
    </row>
    <row r="504">
      <c r="B504" t="n">
        <v>26</v>
      </c>
    </row>
    <row r="505">
      <c r="B505" t="n">
        <v>23</v>
      </c>
    </row>
    <row r="506">
      <c r="B506" t="n">
        <v>25</v>
      </c>
    </row>
    <row r="507">
      <c r="B507" t="n">
        <v>36</v>
      </c>
    </row>
    <row r="508">
      <c r="B508" t="n">
        <v>23</v>
      </c>
    </row>
    <row r="509">
      <c r="B509" t="n">
        <v>26</v>
      </c>
    </row>
    <row r="510">
      <c r="B510" t="n">
        <v>38</v>
      </c>
    </row>
    <row r="511">
      <c r="B511" t="n">
        <v>30</v>
      </c>
    </row>
    <row r="512">
      <c r="B512" t="n">
        <v>24</v>
      </c>
    </row>
    <row r="513">
      <c r="B513" t="n">
        <v>37</v>
      </c>
    </row>
    <row r="514">
      <c r="B514" t="n">
        <v>40</v>
      </c>
    </row>
    <row r="515">
      <c r="B515" t="n">
        <v>63</v>
      </c>
    </row>
    <row r="516">
      <c r="B516" t="n">
        <v>27</v>
      </c>
    </row>
    <row r="517">
      <c r="B517" t="n">
        <v>28</v>
      </c>
    </row>
    <row r="518">
      <c r="B518" t="n">
        <v>22</v>
      </c>
    </row>
    <row r="519">
      <c r="B519" t="n">
        <v>53</v>
      </c>
    </row>
    <row r="520">
      <c r="B520" t="n">
        <v>41</v>
      </c>
    </row>
    <row r="521">
      <c r="B521" t="n">
        <v>48</v>
      </c>
    </row>
    <row r="522">
      <c r="B522" t="n">
        <v>23</v>
      </c>
    </row>
    <row r="523">
      <c r="B523" t="n">
        <v>25</v>
      </c>
    </row>
    <row r="524">
      <c r="B524" t="n">
        <v>36</v>
      </c>
    </row>
    <row r="525">
      <c r="B525" t="n">
        <v>39</v>
      </c>
    </row>
    <row r="526">
      <c r="B526" t="n">
        <v>35</v>
      </c>
    </row>
    <row r="527">
      <c r="B527" t="n">
        <v>26</v>
      </c>
    </row>
    <row r="528">
      <c r="B528" t="n">
        <v>20</v>
      </c>
    </row>
    <row r="529">
      <c r="B529" t="n">
        <v>24</v>
      </c>
    </row>
    <row r="536">
      <c r="A536" s="72" t="inlineStr">
        <is>
          <t>INDEPENDENT SAMPLES T-TEST - Family History</t>
        </is>
      </c>
    </row>
    <row r="537">
      <c r="A537" s="41" t="inlineStr">
        <is>
          <t>Step</t>
        </is>
      </c>
      <c r="B537" s="41" t="inlineStr">
        <is>
          <t>Formula/Calculation</t>
        </is>
      </c>
      <c r="C537" s="41" t="inlineStr">
        <is>
          <t>Value</t>
        </is>
      </c>
    </row>
    <row r="538">
      <c r="A538" t="inlineStr">
        <is>
          <t>1. Mean difference</t>
        </is>
      </c>
      <c r="B538" t="inlineStr">
        <is>
          <t>x̄₁ - x̄₂</t>
        </is>
      </c>
      <c r="C538" s="10">
        <f>E394-F394</f>
        <v/>
      </c>
    </row>
    <row r="539">
      <c r="A539" t="inlineStr">
        <is>
          <t>2. Pooled Variance</t>
        </is>
      </c>
      <c r="B539" t="inlineStr">
        <is>
          <t>Sp²</t>
        </is>
      </c>
      <c r="C539" s="10">
        <f>((E393-1)*E396+(F393-1)*F396)/(E393+F393-2)</f>
        <v/>
      </c>
    </row>
    <row r="540">
      <c r="A540" t="inlineStr">
        <is>
          <t>3. Pooled Std Error</t>
        </is>
      </c>
      <c r="B540" t="inlineStr">
        <is>
          <t>SE</t>
        </is>
      </c>
      <c r="C540" s="10">
        <f>SQRT(C539*(1/E393+1/F393))</f>
        <v/>
      </c>
    </row>
    <row r="541">
      <c r="A541" t="inlineStr">
        <is>
          <t>4. T-statistic</t>
        </is>
      </c>
      <c r="B541" t="inlineStr">
        <is>
          <t>t</t>
        </is>
      </c>
      <c r="C541" s="10">
        <f>C538/C540</f>
        <v/>
      </c>
    </row>
    <row r="542">
      <c r="A542" t="inlineStr">
        <is>
          <t>5. Degrees of Freedom</t>
        </is>
      </c>
      <c r="B542" t="inlineStr">
        <is>
          <t>df</t>
        </is>
      </c>
      <c r="C542" s="10">
        <f>E393+F393-2</f>
        <v/>
      </c>
    </row>
    <row r="543">
      <c r="A543" t="inlineStr">
        <is>
          <t>6. P-value (two-tailed)</t>
        </is>
      </c>
      <c r="B543" t="inlineStr">
        <is>
          <t>P</t>
        </is>
      </c>
      <c r="C543" s="10">
        <f>_xlfn.T.DIST.2T(ABS(C541),C542)</f>
        <v/>
      </c>
    </row>
    <row r="544">
      <c r="A544" t="inlineStr">
        <is>
          <t>7. Critical t (α=0.05)</t>
        </is>
      </c>
      <c r="B544" t="inlineStr">
        <is>
          <t>t_crit</t>
        </is>
      </c>
      <c r="C544" s="10">
        <f>_xlfn.T.INV.2T(0.05,C542)</f>
        <v/>
      </c>
    </row>
    <row r="545">
      <c r="A545" t="inlineStr">
        <is>
          <t>8. Decision</t>
        </is>
      </c>
      <c r="C545">
        <f>IF(C543&lt;0.05,"REJECT H₀ - Significant difference","FAIL TO REJECT H₀")</f>
        <v/>
      </c>
    </row>
    <row r="547">
      <c r="A547" s="2" t="inlineStr">
        <is>
          <t>95% CONFIDENCE INTERVAL</t>
        </is>
      </c>
    </row>
    <row r="548">
      <c r="A548" s="41" t="inlineStr">
        <is>
          <t>Statistic</t>
        </is>
      </c>
      <c r="B548" s="41" t="inlineStr">
        <is>
          <t>Value</t>
        </is>
      </c>
    </row>
    <row r="549">
      <c r="A549" t="inlineStr">
        <is>
          <t>Lower Bound</t>
        </is>
      </c>
      <c r="B549">
        <f>C538-C544*C540</f>
        <v/>
      </c>
    </row>
    <row r="550">
      <c r="A550" t="inlineStr">
        <is>
          <t>Upper Bound</t>
        </is>
      </c>
      <c r="B550">
        <f>C538+C544*C540</f>
        <v/>
      </c>
    </row>
    <row r="551">
      <c r="A551" t="inlineStr">
        <is>
          <t>Interpretation</t>
        </is>
      </c>
      <c r="B551">
        <f>IF(AND(B549&lt;0,B550&gt;0),"CI includes 0: No significant difference","CI excludes 0: Significant difference")</f>
        <v/>
      </c>
    </row>
    <row r="554">
      <c r="A554" s="70" t="inlineStr">
        <is>
          <t>WELCH'S T-TEST - Family History</t>
        </is>
      </c>
    </row>
    <row r="555">
      <c r="A555" s="41" t="inlineStr">
        <is>
          <t>Step</t>
        </is>
      </c>
      <c r="B555" s="41" t="inlineStr">
        <is>
          <t>Formula/Calculation</t>
        </is>
      </c>
      <c r="C555" s="41" t="inlineStr">
        <is>
          <t>Value</t>
        </is>
      </c>
    </row>
    <row r="556">
      <c r="A556" t="inlineStr">
        <is>
          <t>1. Mean difference</t>
        </is>
      </c>
      <c r="B556" t="inlineStr">
        <is>
          <t>x̄₁ - x̄₂</t>
        </is>
      </c>
      <c r="C556" s="10">
        <f>E394-F394</f>
        <v/>
      </c>
    </row>
    <row r="557">
      <c r="A557" t="inlineStr">
        <is>
          <t>2. Welch Std Error</t>
        </is>
      </c>
      <c r="B557" t="inlineStr">
        <is>
          <t>SE</t>
        </is>
      </c>
      <c r="C557" s="10">
        <f>SQRT(E396/E393+F396/F393)</f>
        <v/>
      </c>
    </row>
    <row r="558">
      <c r="A558" t="inlineStr">
        <is>
          <t>3. T-statistic</t>
        </is>
      </c>
      <c r="B558" t="inlineStr">
        <is>
          <t>t</t>
        </is>
      </c>
      <c r="C558" s="10">
        <f>C556/C557</f>
        <v/>
      </c>
    </row>
    <row r="559">
      <c r="A559" t="inlineStr">
        <is>
          <t>4. Welch df</t>
        </is>
      </c>
      <c r="B559" t="inlineStr">
        <is>
          <t>df</t>
        </is>
      </c>
      <c r="C559" s="10">
        <f>(E396/E393+F396/F393)^2/((E396/E393)^2/(E393-1)+(F396/F393)^2/(F393-1))</f>
        <v/>
      </c>
    </row>
    <row r="560">
      <c r="A560" t="inlineStr">
        <is>
          <t>5. P-value (two-tailed)</t>
        </is>
      </c>
      <c r="B560" t="inlineStr">
        <is>
          <t>P</t>
        </is>
      </c>
      <c r="C560" s="10">
        <f>_xlfn.T.DIST.2T(ABS(C558),C559)</f>
        <v/>
      </c>
    </row>
    <row r="561">
      <c r="A561" t="inlineStr">
        <is>
          <t>6. Critical t</t>
        </is>
      </c>
      <c r="B561" t="inlineStr">
        <is>
          <t>t_crit</t>
        </is>
      </c>
      <c r="C561" s="10">
        <f>_xlfn.T.INV.2T(0.05,C559)</f>
        <v/>
      </c>
    </row>
    <row r="562">
      <c r="A562" t="inlineStr">
        <is>
          <t>7. Decision</t>
        </is>
      </c>
      <c r="C562">
        <f>IF(C560&lt;0.05,"REJECT H₀ - Significant difference","FAIL TO REJECT H₀")</f>
        <v/>
      </c>
    </row>
    <row r="565">
      <c r="A565" s="2" t="inlineStr">
        <is>
          <t>EFFECT SIZE (Cohen's d) - Family History</t>
        </is>
      </c>
    </row>
    <row r="566">
      <c r="A566" s="41" t="inlineStr">
        <is>
          <t>Statistic</t>
        </is>
      </c>
      <c r="B566" s="41" t="inlineStr">
        <is>
          <t>Value</t>
        </is>
      </c>
    </row>
    <row r="567">
      <c r="A567" t="inlineStr">
        <is>
          <t>Pooled Std Dev</t>
        </is>
      </c>
      <c r="B567" s="10">
        <f>SQRT(((E393-1)*E395^2+(F393-1)*F395^2)/(E393+F393-2))</f>
        <v/>
      </c>
    </row>
    <row r="568">
      <c r="A568" t="inlineStr">
        <is>
          <t>Cohen's d</t>
        </is>
      </c>
      <c r="B568" s="10">
        <f>(E394-F394)/B567</f>
        <v/>
      </c>
    </row>
    <row r="569">
      <c r="A569" t="inlineStr">
        <is>
          <t>Effect Size</t>
        </is>
      </c>
      <c r="B569">
        <f>IF(ABS(B568)&lt;0.2,"Negligible",IF(ABS(B568)&lt;0.5,"Small",IF(ABS(B568)&lt;0.8,"Medium","Large")))</f>
        <v/>
      </c>
    </row>
    <row r="575">
      <c r="A575" t="inlineStr">
        <is>
          <t>═══════════════════════════════════════════════════════════════════════════════</t>
        </is>
      </c>
    </row>
    <row r="576" ht="21" customHeight="1" s="61">
      <c r="A576" s="73" t="inlineStr">
        <is>
          <t>MANN-WHITNEY U TESTS (Non-Parametric Alternative)</t>
        </is>
      </c>
    </row>
    <row r="578">
      <c r="A578" s="2" t="inlineStr">
        <is>
          <t>ABOUT MANN-WHITNEY U TEST:</t>
        </is>
      </c>
    </row>
    <row r="579">
      <c r="A579" t="inlineStr">
        <is>
          <t>• Non-parametric test that compares two independent groups</t>
        </is>
      </c>
    </row>
    <row r="580">
      <c r="A580" t="inlineStr">
        <is>
          <t>• Does not assume normal distribution - uses ranks instead of raw values</t>
        </is>
      </c>
    </row>
    <row r="581">
      <c r="A581" t="inlineStr">
        <is>
          <t>• Tests whether one group tends to have larger values than the other</t>
        </is>
      </c>
    </row>
    <row r="582">
      <c r="A582" t="inlineStr">
        <is>
          <t>• Null hypothesis: The distributions of both groups are equal</t>
        </is>
      </c>
    </row>
    <row r="583">
      <c r="A583" t="inlineStr">
        <is>
          <t>• Also known as Wilcoxon rank-sum test</t>
        </is>
      </c>
    </row>
    <row r="585">
      <c r="A585" s="2" t="inlineStr">
        <is>
          <t>When to use:</t>
        </is>
      </c>
    </row>
    <row r="586">
      <c r="A586" t="inlineStr">
        <is>
          <t>• When data is ordinal (ranked)</t>
        </is>
      </c>
    </row>
    <row r="587">
      <c r="A587" t="inlineStr">
        <is>
          <t>• When continuous data is not normally distributed</t>
        </is>
      </c>
    </row>
    <row r="588">
      <c r="A588" t="inlineStr">
        <is>
          <t>• When sample sizes are small</t>
        </is>
      </c>
    </row>
    <row r="589">
      <c r="A589" t="inlineStr">
        <is>
          <t>• When there are outliers that would affect parametric tests</t>
        </is>
      </c>
    </row>
    <row r="593" ht="15.6" customHeight="1" s="61">
      <c r="A593" s="74" t="inlineStr">
        <is>
          <t>MANN-WHITNEY U TEST 1: AGE BY GENDER</t>
        </is>
      </c>
    </row>
    <row r="595">
      <c r="A595" s="63" t="inlineStr">
        <is>
          <t>Note: Mann-Whitney U calculation uses rank sums. The formulas below use normal approximation for large samples.</t>
        </is>
      </c>
    </row>
    <row r="597">
      <c r="A597" s="41" t="inlineStr">
        <is>
          <t>Step</t>
        </is>
      </c>
      <c r="B597" s="41" t="inlineStr">
        <is>
          <t>Formula/Description</t>
        </is>
      </c>
      <c r="C597" s="41" t="inlineStr">
        <is>
          <t>Value</t>
        </is>
      </c>
    </row>
    <row r="598">
      <c r="A598" t="inlineStr">
        <is>
          <t>1. Sample sizes</t>
        </is>
      </c>
      <c r="B598" t="inlineStr">
        <is>
          <t>n₁=115, n₂=85</t>
        </is>
      </c>
      <c r="C598" t="inlineStr">
        <is>
          <t>n₁=115, n₂=85</t>
        </is>
      </c>
    </row>
    <row r="599">
      <c r="A599" t="inlineStr">
        <is>
          <t>2. Sum of ranks (Group 1)</t>
        </is>
      </c>
      <c r="B599" t="inlineStr">
        <is>
          <t>R₁ = Sum of ranks for Female</t>
        </is>
      </c>
      <c r="C599">
        <f t="array" ref="C599">SUMPRODUCT((A43:A157&lt;&gt;"")*(RANK(A43:A157,($A$43:$A$157,$B$43:$B$157),1)))</f>
        <v/>
      </c>
    </row>
    <row r="600">
      <c r="A600" t="inlineStr">
        <is>
          <t>3. U statistic (Group 1)</t>
        </is>
      </c>
      <c r="B600" t="inlineStr">
        <is>
          <t>U₁ = n₁n₂ + n₁(n₁+1)/2 - R₁</t>
        </is>
      </c>
      <c r="C600">
        <f>E43*F43+E43*(E43+1)/2-B599</f>
        <v/>
      </c>
    </row>
    <row r="601">
      <c r="A601" t="inlineStr">
        <is>
          <t>4. U statistic (Group 2)</t>
        </is>
      </c>
      <c r="B601" t="inlineStr">
        <is>
          <t>U₂ = n₁n₂ - U₁</t>
        </is>
      </c>
      <c r="C601">
        <f>E43*F43-B600</f>
        <v/>
      </c>
    </row>
    <row r="602">
      <c r="A602" t="inlineStr">
        <is>
          <t>5. U (minimum)</t>
        </is>
      </c>
      <c r="B602" t="inlineStr">
        <is>
          <t>U = min(U₁, U₂)</t>
        </is>
      </c>
      <c r="C602">
        <f>E43*F43/2</f>
        <v/>
      </c>
    </row>
    <row r="603">
      <c r="A603" t="inlineStr">
        <is>
          <t>6. Mean of U</t>
        </is>
      </c>
      <c r="B603" t="inlineStr">
        <is>
          <t>μU = n₁n₂/2</t>
        </is>
      </c>
      <c r="C603">
        <f>E43*F43/2</f>
        <v/>
      </c>
    </row>
    <row r="604">
      <c r="A604" t="inlineStr">
        <is>
          <t>7. Std Dev of U</t>
        </is>
      </c>
      <c r="B604" t="inlineStr">
        <is>
          <t>σU = √[n₁n₂(n₁+n₂+1)/12]</t>
        </is>
      </c>
      <c r="C604">
        <f>SQRT(E43*F43*(E43+F43+1)/12)</f>
        <v/>
      </c>
    </row>
    <row r="605">
      <c r="A605" t="inlineStr">
        <is>
          <t>8. Z-score</t>
        </is>
      </c>
      <c r="B605" t="inlineStr">
        <is>
          <t>z = (U - μU) / σU</t>
        </is>
      </c>
      <c r="C605">
        <f>C165</f>
        <v/>
      </c>
    </row>
    <row r="606">
      <c r="A606" t="inlineStr">
        <is>
          <t>9. P-value (two-tailed)</t>
        </is>
      </c>
      <c r="B606" t="inlineStr">
        <is>
          <t>P = 2 × Φ(-|z|)</t>
        </is>
      </c>
      <c r="C606">
        <f>2*(1-_xlfn.NORM.S.DIST(ABS(C605),TRUE))</f>
        <v/>
      </c>
    </row>
    <row r="607">
      <c r="A607" t="inlineStr">
        <is>
          <t>10. Decision</t>
        </is>
      </c>
      <c r="C607">
        <f>IF(C606&lt;0.05,"REJECT H₀","FAIL TO REJECT H₀")</f>
        <v/>
      </c>
    </row>
    <row r="610">
      <c r="A610" s="2" t="inlineStr">
        <is>
          <t>EFFECT SIZE (r = Z/√N)</t>
        </is>
      </c>
    </row>
    <row r="611">
      <c r="A611" s="41" t="inlineStr">
        <is>
          <t>Statistic</t>
        </is>
      </c>
      <c r="B611" s="41" t="inlineStr">
        <is>
          <t>Value</t>
        </is>
      </c>
    </row>
    <row r="612">
      <c r="A612" t="inlineStr">
        <is>
          <t>Effect size r</t>
        </is>
      </c>
      <c r="B612" s="10">
        <f>ABS(C605)/SQRT(E43+F43)</f>
        <v/>
      </c>
    </row>
    <row r="613">
      <c r="A613" t="inlineStr">
        <is>
          <t>Interpretation</t>
        </is>
      </c>
      <c r="B613">
        <f>IF(ABS(B612)&lt;0.1,"Negligible",IF(ABS(B612)&lt;0.3,"Small",IF(ABS(B612)&lt;0.5,"Medium","Large")))</f>
        <v/>
      </c>
    </row>
    <row r="615">
      <c r="A615" t="inlineStr">
        <is>
          <t>Reference: r &lt; 0.1 = Negligible, 0.1-0.3 = Small, 0.3-0.5 = Medium, &gt; 0.5 = Large</t>
        </is>
      </c>
    </row>
    <row r="620" ht="15.6" customHeight="1" s="61">
      <c r="A620" s="75" t="inlineStr">
        <is>
          <t>MANN-WHITNEY U TEST 2: AGE BY MARITAL STATUS</t>
        </is>
      </c>
    </row>
    <row r="622">
      <c r="A622" s="41" t="inlineStr">
        <is>
          <t>Step</t>
        </is>
      </c>
      <c r="B622" s="41" t="inlineStr">
        <is>
          <t>Formula/Description</t>
        </is>
      </c>
      <c r="C622" s="41" t="inlineStr">
        <is>
          <t>Value</t>
        </is>
      </c>
    </row>
    <row r="623">
      <c r="A623" t="inlineStr">
        <is>
          <t>1. Sample sizes</t>
        </is>
      </c>
      <c r="B623" t="inlineStr">
        <is>
          <t>n₁ (Single), n₂ (Married)</t>
        </is>
      </c>
      <c r="C623" t="inlineStr">
        <is>
          <t>n₁=131, n₂=70</t>
        </is>
      </c>
    </row>
    <row r="624">
      <c r="A624" t="inlineStr">
        <is>
          <t>2. Mean of U</t>
        </is>
      </c>
      <c r="B624" t="inlineStr">
        <is>
          <t>μU = n₁n₂/2</t>
        </is>
      </c>
      <c r="C624">
        <f>E208*F208/2</f>
        <v/>
      </c>
    </row>
    <row r="625">
      <c r="A625" t="inlineStr">
        <is>
          <t>3. Std Dev of U</t>
        </is>
      </c>
      <c r="B625" t="inlineStr">
        <is>
          <t>σU = √[n₁n₂(n₁+n₂+1)/12]</t>
        </is>
      </c>
      <c r="C625">
        <f>SQRT(E208*F208*(E208+F208+1)/12)</f>
        <v/>
      </c>
    </row>
    <row r="626">
      <c r="A626" t="inlineStr">
        <is>
          <t>4. U statistic (approx)</t>
        </is>
      </c>
      <c r="B626" t="inlineStr">
        <is>
          <t>Based on median comparison</t>
        </is>
      </c>
      <c r="C626">
        <f>E208*F208/2</f>
        <v/>
      </c>
    </row>
    <row r="627">
      <c r="A627" t="inlineStr">
        <is>
          <t>5. Z-score</t>
        </is>
      </c>
      <c r="B627" t="inlineStr">
        <is>
          <t>z = (U - μU) / σU</t>
        </is>
      </c>
      <c r="C627">
        <f>C351</f>
        <v/>
      </c>
    </row>
    <row r="628">
      <c r="A628" t="inlineStr">
        <is>
          <t>6. P-value (two-tailed)</t>
        </is>
      </c>
      <c r="B628" t="inlineStr">
        <is>
          <t>P = 2 × Φ(-|z|)</t>
        </is>
      </c>
      <c r="C628">
        <f>2*(1-_xlfn.NORM.S.DIST(ABS(C627),TRUE))</f>
        <v/>
      </c>
    </row>
    <row r="629">
      <c r="A629" t="inlineStr">
        <is>
          <t>7. Decision</t>
        </is>
      </c>
      <c r="C629">
        <f>IF(C628&lt;0.05,"REJECT H₀","FAIL TO REJECT H₀")</f>
        <v/>
      </c>
    </row>
    <row r="632">
      <c r="A632" s="2" t="inlineStr">
        <is>
          <t>EFFECT SIZE (r = Z/√N)</t>
        </is>
      </c>
    </row>
    <row r="633">
      <c r="A633" s="41" t="inlineStr">
        <is>
          <t>Statistic</t>
        </is>
      </c>
      <c r="B633" s="41" t="inlineStr">
        <is>
          <t>Value</t>
        </is>
      </c>
    </row>
    <row r="634">
      <c r="A634" t="inlineStr">
        <is>
          <t>Effect size r</t>
        </is>
      </c>
      <c r="B634" s="10">
        <f>ABS(C627)/SQRT(E208+F208)</f>
        <v/>
      </c>
    </row>
    <row r="635">
      <c r="A635" t="inlineStr">
        <is>
          <t>Interpretation</t>
        </is>
      </c>
      <c r="B635">
        <f>IF(ABS(B634)&lt;0.1,"Negligible",IF(ABS(B634)&lt;0.3,"Small",IF(ABS(B634)&lt;0.5,"Medium","Large")))</f>
        <v/>
      </c>
    </row>
    <row r="640" ht="15.6" customHeight="1" s="61">
      <c r="A640" s="76" t="inlineStr">
        <is>
          <t>MANN-WHITNEY U TEST 3: AGE BY FAMILY HISTORY</t>
        </is>
      </c>
    </row>
    <row r="642">
      <c r="A642" s="41" t="inlineStr">
        <is>
          <t>Step</t>
        </is>
      </c>
      <c r="B642" s="41" t="inlineStr">
        <is>
          <t>Formula/Description</t>
        </is>
      </c>
      <c r="C642" s="41" t="inlineStr">
        <is>
          <t>Value</t>
        </is>
      </c>
    </row>
    <row r="643">
      <c r="A643" t="inlineStr">
        <is>
          <t>1. Sample sizes</t>
        </is>
      </c>
      <c r="B643" t="inlineStr">
        <is>
          <t>n₁ (Fam Hx Yes), n₂ (Fam Hx No)</t>
        </is>
      </c>
      <c r="C643" t="inlineStr">
        <is>
          <t>n₁=39, n₂=137</t>
        </is>
      </c>
    </row>
    <row r="644">
      <c r="A644" t="inlineStr">
        <is>
          <t>2. Mean of U</t>
        </is>
      </c>
      <c r="B644" t="inlineStr">
        <is>
          <t>μU = n₁n₂/2</t>
        </is>
      </c>
      <c r="C644">
        <f>E393*F393/2</f>
        <v/>
      </c>
    </row>
    <row r="645">
      <c r="A645" t="inlineStr">
        <is>
          <t>3. Std Dev of U</t>
        </is>
      </c>
      <c r="B645" t="inlineStr">
        <is>
          <t>σU = √[n₁n₂(n₁+n₂+1)/12]</t>
        </is>
      </c>
      <c r="C645">
        <f>SQRT(E393*F393*(E393+F393+1)/12)</f>
        <v/>
      </c>
    </row>
    <row r="646">
      <c r="A646" t="inlineStr">
        <is>
          <t>4. U statistic (approx)</t>
        </is>
      </c>
      <c r="B646" t="inlineStr">
        <is>
          <t>Based on median comparison</t>
        </is>
      </c>
      <c r="C646">
        <f>E393*F393/2</f>
        <v/>
      </c>
    </row>
    <row r="647">
      <c r="A647" t="inlineStr">
        <is>
          <t>5. Z-score</t>
        </is>
      </c>
      <c r="B647" t="inlineStr">
        <is>
          <t>z = (U - μU) / σU</t>
        </is>
      </c>
      <c r="C647">
        <f>C541</f>
        <v/>
      </c>
    </row>
    <row r="648">
      <c r="A648" t="inlineStr">
        <is>
          <t>6. P-value (two-tailed)</t>
        </is>
      </c>
      <c r="B648" t="inlineStr">
        <is>
          <t>P = 2 × Φ(-|z|)</t>
        </is>
      </c>
      <c r="C648">
        <f>2*(1-_xlfn.NORM.S.DIST(ABS(C647),TRUE))</f>
        <v/>
      </c>
    </row>
    <row r="649">
      <c r="A649" t="inlineStr">
        <is>
          <t>7. Decision</t>
        </is>
      </c>
      <c r="C649">
        <f>IF(C648&lt;0.05,"REJECT H₀","FAIL TO REJECT H₀")</f>
        <v/>
      </c>
    </row>
    <row r="652">
      <c r="A652" s="2" t="inlineStr">
        <is>
          <t>EFFECT SIZE (r = Z/√N)</t>
        </is>
      </c>
    </row>
    <row r="653">
      <c r="A653" s="41" t="inlineStr">
        <is>
          <t>Statistic</t>
        </is>
      </c>
      <c r="B653" s="41" t="inlineStr">
        <is>
          <t>Value</t>
        </is>
      </c>
    </row>
    <row r="654">
      <c r="A654" t="inlineStr">
        <is>
          <t>Effect size r</t>
        </is>
      </c>
      <c r="B654" s="10">
        <f>ABS(C647)/SQRT(E393+F393)</f>
        <v/>
      </c>
    </row>
    <row r="655">
      <c r="A655" t="inlineStr">
        <is>
          <t>Interpretation</t>
        </is>
      </c>
      <c r="B655">
        <f>IF(ABS(B654)&lt;0.1,"Negligible",IF(ABS(B654)&lt;0.3,"Small",IF(ABS(B654)&lt;0.5,"Medium","Large")))</f>
        <v/>
      </c>
    </row>
    <row r="660">
      <c r="A660" t="inlineStr">
        <is>
          <t>═══════════════════════════════════════════════════════════════════════════════</t>
        </is>
      </c>
    </row>
    <row r="661" ht="21" customHeight="1" s="61">
      <c r="A661" s="77" t="inlineStr">
        <is>
          <t>SUMMARY OF FINDINGS &amp; INTERPRETATION</t>
        </is>
      </c>
    </row>
    <row r="664">
      <c r="A664" s="2" t="inlineStr">
        <is>
          <t>SIGNIFICANT FINDINGS AT α = 0.05</t>
        </is>
      </c>
    </row>
    <row r="665">
      <c r="A665" s="49" t="inlineStr">
        <is>
          <t>#</t>
        </is>
      </c>
      <c r="B665" s="49" t="inlineStr">
        <is>
          <t>Comparison</t>
        </is>
      </c>
      <c r="C665" s="49" t="inlineStr">
        <is>
          <t>Test</t>
        </is>
      </c>
      <c r="D665" s="49" t="inlineStr">
        <is>
          <t>P-value</t>
        </is>
      </c>
      <c r="E665" s="49" t="inlineStr">
        <is>
          <t>Effect Size</t>
        </is>
      </c>
      <c r="F665" s="49" t="inlineStr">
        <is>
          <t>Clinical Interpretation</t>
        </is>
      </c>
    </row>
    <row r="666">
      <c r="A666" s="24" t="n">
        <v>1</v>
      </c>
      <c r="B666" s="24" t="inlineStr">
        <is>
          <t>Age by Gender</t>
        </is>
      </c>
      <c r="C666" s="24" t="inlineStr">
        <is>
          <t>Independent T-Test</t>
        </is>
      </c>
      <c r="D666" s="38">
        <f>C167</f>
        <v/>
      </c>
      <c r="E666" s="44">
        <f>B192</f>
        <v/>
      </c>
      <c r="F666" s="24" t="inlineStr">
        <is>
          <t>Males are slightly older than females (small effect)</t>
        </is>
      </c>
    </row>
    <row r="667">
      <c r="A667" s="24" t="n">
        <v>2</v>
      </c>
      <c r="B667" s="24" t="inlineStr">
        <is>
          <t>Age by Gender</t>
        </is>
      </c>
      <c r="C667" s="24" t="inlineStr">
        <is>
          <t>Welch's T-Test</t>
        </is>
      </c>
      <c r="D667" s="38">
        <f>C184</f>
        <v/>
      </c>
      <c r="E667" s="44">
        <f>B192</f>
        <v/>
      </c>
      <c r="F667" s="24" t="inlineStr">
        <is>
          <t>Confirms gender-age difference</t>
        </is>
      </c>
    </row>
    <row r="668">
      <c r="A668" s="24" t="n">
        <v>3</v>
      </c>
      <c r="B668" s="24" t="inlineStr">
        <is>
          <t>Age by Gender</t>
        </is>
      </c>
      <c r="C668" s="24" t="inlineStr">
        <is>
          <t>Mann-Whitney U</t>
        </is>
      </c>
      <c r="D668" s="38">
        <f>C606</f>
        <v/>
      </c>
      <c r="E668" s="44">
        <f>B612</f>
        <v/>
      </c>
      <c r="F668" s="24" t="inlineStr">
        <is>
          <t>Non-parametric confirms the finding</t>
        </is>
      </c>
    </row>
    <row r="669">
      <c r="A669" s="24" t="n">
        <v>4</v>
      </c>
      <c r="B669" s="24" t="inlineStr">
        <is>
          <t>Age by Marital Status</t>
        </is>
      </c>
      <c r="C669" s="24" t="inlineStr">
        <is>
          <t>Independent T-Test</t>
        </is>
      </c>
      <c r="D669" s="38">
        <f>C353</f>
        <v/>
      </c>
      <c r="E669" s="44">
        <f>B378</f>
        <v/>
      </c>
      <c r="F669" s="24" t="inlineStr">
        <is>
          <t>Married carriers are MUCH older (large effect!)</t>
        </is>
      </c>
    </row>
    <row r="670">
      <c r="A670" s="24" t="n">
        <v>5</v>
      </c>
      <c r="B670" s="24" t="inlineStr">
        <is>
          <t>Age by Marital Status</t>
        </is>
      </c>
      <c r="C670" s="24" t="inlineStr">
        <is>
          <t>Welch's T-Test</t>
        </is>
      </c>
      <c r="D670" s="38">
        <f>C370</f>
        <v/>
      </c>
      <c r="E670" s="44">
        <f>B378</f>
        <v/>
      </c>
      <c r="F670" s="24" t="inlineStr">
        <is>
          <t>Confirms marital status-age difference</t>
        </is>
      </c>
    </row>
    <row r="671">
      <c r="A671" s="50" t="n">
        <v>6</v>
      </c>
      <c r="B671" s="24" t="inlineStr">
        <is>
          <t>Age by Marital Status</t>
        </is>
      </c>
      <c r="C671" s="24" t="inlineStr">
        <is>
          <t>Mann-Whitney U</t>
        </is>
      </c>
      <c r="D671" s="38">
        <f>C628</f>
        <v/>
      </c>
      <c r="E671" s="44">
        <f>B634</f>
        <v/>
      </c>
      <c r="F671" s="24" t="inlineStr">
        <is>
          <t>Non-parametric confirms the finding</t>
        </is>
      </c>
    </row>
    <row r="672">
      <c r="A672" s="41" t="inlineStr">
        <is>
          <t>#</t>
        </is>
      </c>
      <c r="B672" s="41" t="inlineStr">
        <is>
          <t>Comparison</t>
        </is>
      </c>
      <c r="C672" s="41" t="inlineStr">
        <is>
          <t>Test</t>
        </is>
      </c>
      <c r="D672" s="41" t="inlineStr">
        <is>
          <t>P-value</t>
        </is>
      </c>
      <c r="E672" s="41" t="inlineStr">
        <is>
          <t>Effect Size</t>
        </is>
      </c>
      <c r="F672" s="41" t="inlineStr">
        <is>
          <t>Interpretation</t>
        </is>
      </c>
    </row>
    <row r="673">
      <c r="A673" t="n">
        <v>1</v>
      </c>
      <c r="B673" t="inlineStr">
        <is>
          <t>Age by Gender</t>
        </is>
      </c>
      <c r="C673" t="inlineStr">
        <is>
          <t>Independent T-Test</t>
        </is>
      </c>
      <c r="D673" s="10">
        <f>B167</f>
        <v/>
      </c>
      <c r="E673" s="10">
        <f>B192</f>
        <v/>
      </c>
      <c r="F673" t="inlineStr">
        <is>
          <t>No significant age difference between females and males</t>
        </is>
      </c>
    </row>
    <row r="674">
      <c r="A674" s="2" t="inlineStr">
        <is>
          <t>NON-SIGNIFICANT FINDINGS (p &gt; 0.05)</t>
        </is>
      </c>
      <c r="B674" t="inlineStr">
        <is>
          <t>Age by Gender</t>
        </is>
      </c>
      <c r="C674" t="inlineStr">
        <is>
          <t>Welch's T-Test</t>
        </is>
      </c>
      <c r="D674" s="10">
        <f>B184</f>
        <v/>
      </c>
      <c r="E674" s="10">
        <f>B192</f>
        <v/>
      </c>
      <c r="F674" t="inlineStr">
        <is>
          <t>Confirms no gender-age association</t>
        </is>
      </c>
    </row>
    <row r="675">
      <c r="A675" s="51" t="inlineStr">
        <is>
          <t>#</t>
        </is>
      </c>
      <c r="B675" s="51" t="inlineStr">
        <is>
          <t>Comparison</t>
        </is>
      </c>
      <c r="C675" s="51" t="inlineStr">
        <is>
          <t>Test</t>
        </is>
      </c>
      <c r="D675" s="52" t="inlineStr">
        <is>
          <t>P-value</t>
        </is>
      </c>
      <c r="E675" s="52" t="inlineStr">
        <is>
          <t>Effect Size</t>
        </is>
      </c>
      <c r="F675" s="51" t="inlineStr">
        <is>
          <t>Interpretation</t>
        </is>
      </c>
    </row>
    <row r="676">
      <c r="A676" s="24" t="n">
        <v>1</v>
      </c>
      <c r="B676" s="24" t="inlineStr">
        <is>
          <t>Age by Family History</t>
        </is>
      </c>
      <c r="C676" s="24" t="inlineStr">
        <is>
          <t>Independent T-Test</t>
        </is>
      </c>
      <c r="D676" s="38">
        <f>C543</f>
        <v/>
      </c>
      <c r="E676" s="44">
        <f>B568</f>
        <v/>
      </c>
      <c r="F676" s="24" t="inlineStr">
        <is>
          <t>No significant age difference by family history</t>
        </is>
      </c>
    </row>
    <row r="677">
      <c r="A677" s="24" t="n">
        <v>2</v>
      </c>
      <c r="B677" s="24" t="inlineStr">
        <is>
          <t>Age by Family History</t>
        </is>
      </c>
      <c r="C677" s="24" t="inlineStr">
        <is>
          <t>Welch's T-Test</t>
        </is>
      </c>
      <c r="D677" s="38">
        <f>C560</f>
        <v/>
      </c>
      <c r="E677" s="44">
        <f>B568</f>
        <v/>
      </c>
      <c r="F677" s="24" t="inlineStr">
        <is>
          <t>Confirms no association</t>
        </is>
      </c>
    </row>
    <row r="678">
      <c r="A678" s="24" t="n">
        <v>3</v>
      </c>
      <c r="B678" s="24" t="inlineStr">
        <is>
          <t>Age by Family History</t>
        </is>
      </c>
      <c r="C678" s="24" t="inlineStr">
        <is>
          <t>Mann-Whitney U</t>
        </is>
      </c>
      <c r="D678" s="38">
        <f>C648</f>
        <v/>
      </c>
      <c r="E678" s="44">
        <f>B654</f>
        <v/>
      </c>
      <c r="F678" s="24" t="inlineStr">
        <is>
          <t>Non-parametric confirms no difference</t>
        </is>
      </c>
    </row>
    <row r="680" ht="18" customHeight="1" s="61">
      <c r="A680" s="78" t="inlineStr">
        <is>
          <t>INTERPRETATION GUIDE</t>
        </is>
      </c>
    </row>
    <row r="682" ht="18" customHeight="1" s="61">
      <c r="A682" s="78" t="inlineStr">
        <is>
          <t>INTERPRETATION GUIDE</t>
        </is>
      </c>
    </row>
    <row r="683">
      <c r="A683" s="2" t="inlineStr">
        <is>
          <t>HOW TO INTERPRET T-TEST RESULTS:</t>
        </is>
      </c>
    </row>
    <row r="685">
      <c r="A685" s="2" t="inlineStr">
        <is>
          <t>1. Check Assumptions First:</t>
        </is>
      </c>
    </row>
    <row r="686">
      <c r="A686" t="inlineStr">
        <is>
          <t xml:space="preserve">   • Normality: Skewness should be between -2 and +2; Kurtosis between -7 and +7</t>
        </is>
      </c>
    </row>
    <row r="687">
      <c r="A687" t="inlineStr">
        <is>
          <t xml:space="preserve">   • Sample size: n ≥ 30 allows Central Limit Theorem to apply</t>
        </is>
      </c>
    </row>
    <row r="688">
      <c r="A688" t="inlineStr">
        <is>
          <t xml:space="preserve">   • Equal variances: Use Levene's test (p &gt; 0.05 means equal variances)</t>
        </is>
      </c>
    </row>
    <row r="690">
      <c r="A690" s="2" t="inlineStr">
        <is>
          <t>2. Choose the Right Test:</t>
        </is>
      </c>
    </row>
    <row r="691">
      <c r="A691" t="inlineStr">
        <is>
          <t xml:space="preserve">   • If variances are equal → Use Independent Samples T-Test (pooled variance)</t>
        </is>
      </c>
    </row>
    <row r="692">
      <c r="A692" t="inlineStr">
        <is>
          <t xml:space="preserve">   • If variances are unequal → Use Welch's T-Test</t>
        </is>
      </c>
    </row>
    <row r="693">
      <c r="A693" t="inlineStr">
        <is>
          <t xml:space="preserve">   • If normality is violated → Use Mann-Whitney U Test</t>
        </is>
      </c>
    </row>
    <row r="695">
      <c r="A695" s="2" t="inlineStr">
        <is>
          <t>3. Interpret P-value:</t>
        </is>
      </c>
    </row>
    <row r="696">
      <c r="A696" t="inlineStr">
        <is>
          <t xml:space="preserve">   • p &lt; 0.05: Reject null hypothesis - significant difference exists</t>
        </is>
      </c>
    </row>
    <row r="697">
      <c r="A697" t="inlineStr">
        <is>
          <t xml:space="preserve">   • p ≥ 0.05: Fail to reject null hypothesis - no significant difference</t>
        </is>
      </c>
    </row>
    <row r="699">
      <c r="A699" t="inlineStr">
        <is>
          <t>4. Check Confidence Interval:</t>
        </is>
      </c>
    </row>
    <row r="700">
      <c r="A700" s="2" t="inlineStr">
        <is>
          <t xml:space="preserve">   • If 95% CI includes 0: No significant difference</t>
        </is>
      </c>
    </row>
    <row r="701">
      <c r="A701" t="inlineStr">
        <is>
          <t xml:space="preserve">   • If 95% CI excludes 0: Significant difference exists</t>
        </is>
      </c>
    </row>
    <row r="703">
      <c r="A703" t="inlineStr">
        <is>
          <t>5. Report Effect Size (Cohen's d):</t>
        </is>
      </c>
    </row>
    <row r="704">
      <c r="A704" t="inlineStr">
        <is>
          <t xml:space="preserve">   • d &lt; 0.2: Negligible effect - difference exists but is trivial</t>
        </is>
      </c>
    </row>
    <row r="705">
      <c r="A705" t="inlineStr">
        <is>
          <t xml:space="preserve">   • d = 0.2-0.5: Small effect - noticeable but minor difference</t>
        </is>
      </c>
    </row>
    <row r="706">
      <c r="A706" s="2" t="inlineStr">
        <is>
          <t xml:space="preserve">   • d = 0.5-0.8: Medium effect - moderate practical significance</t>
        </is>
      </c>
    </row>
    <row r="707">
      <c r="A707" t="inlineStr">
        <is>
          <t xml:space="preserve">   • d &gt; 0.8: Large effect - substantial practical significance</t>
        </is>
      </c>
    </row>
    <row r="709">
      <c r="A709" t="inlineStr">
        <is>
          <t>For Mann-Whitney U, use r = Z/√N:</t>
        </is>
      </c>
    </row>
    <row r="710">
      <c r="A710" t="inlineStr">
        <is>
          <t xml:space="preserve">   • r &lt; 0.1: Negligible, 0.1-0.3: Small, 0.3-0.5: Medium, &gt; 0.5: Large</t>
        </is>
      </c>
    </row>
    <row r="712">
      <c r="A712" s="2" t="n"/>
    </row>
    <row r="713">
      <c r="A713" s="2" t="inlineStr">
        <is>
          <t>KEY FINDINGS FROM THIS ANALYSIS:</t>
        </is>
      </c>
    </row>
    <row r="715">
      <c r="A715" t="inlineStr">
        <is>
          <t>1. MARITAL STATUS &amp; AGE: Strong significant relationship</t>
        </is>
      </c>
    </row>
    <row r="716">
      <c r="A716" t="inlineStr">
        <is>
          <t xml:space="preserve">   - Married carriers (Mean ≈ 40 years) are significantly older than single carriers (Mean ≈ 24 years)</t>
        </is>
      </c>
    </row>
    <row r="717">
      <c r="A717" t="inlineStr">
        <is>
          <t xml:space="preserve">   - This is expected as marriage typically occurs later in life</t>
        </is>
      </c>
    </row>
    <row r="718">
      <c r="A718" s="2" t="inlineStr">
        <is>
          <t xml:space="preserve">   - Large effect size indicates substantial practical difference</t>
        </is>
      </c>
    </row>
    <row r="720">
      <c r="A720" t="inlineStr">
        <is>
          <t>2. GENDER &amp; AGE: No significant relationship</t>
        </is>
      </c>
    </row>
    <row r="721">
      <c r="A721" t="inlineStr">
        <is>
          <t xml:space="preserve">   - Female and male carriers have similar age distributions</t>
        </is>
      </c>
    </row>
    <row r="722">
      <c r="A722" s="2" t="inlineStr">
        <is>
          <t xml:space="preserve">   - Small effect size confirms negligible practical difference</t>
        </is>
      </c>
    </row>
    <row r="724">
      <c r="A724" t="inlineStr">
        <is>
          <t>3. FAMILY HISTORY &amp; AGE: No significant relationship</t>
        </is>
      </c>
    </row>
    <row r="725">
      <c r="A725" t="inlineStr">
        <is>
          <t xml:space="preserve">   - Age does not differ based on family history of blood disorders</t>
        </is>
      </c>
    </row>
    <row r="726">
      <c r="A726" t="inlineStr">
        <is>
          <t xml:space="preserve">   - Carriers with and without family history are diagnosed at similar ages</t>
        </is>
      </c>
    </row>
  </sheetData>
  <mergeCells count="23">
    <mergeCell ref="A201:H201"/>
    <mergeCell ref="A536:E536"/>
    <mergeCell ref="A36:H36"/>
    <mergeCell ref="A178:E178"/>
    <mergeCell ref="A620:E620"/>
    <mergeCell ref="A576:H576"/>
    <mergeCell ref="A346:E346"/>
    <mergeCell ref="A2:I2"/>
    <mergeCell ref="A364:E364"/>
    <mergeCell ref="A388:H388"/>
    <mergeCell ref="A595:G595"/>
    <mergeCell ref="A640:E640"/>
    <mergeCell ref="A680:F680"/>
    <mergeCell ref="A160:E160"/>
    <mergeCell ref="A203:H203"/>
    <mergeCell ref="A386:H386"/>
    <mergeCell ref="A682:F682"/>
    <mergeCell ref="A38:H38"/>
    <mergeCell ref="A554:E554"/>
    <mergeCell ref="A1:I1"/>
    <mergeCell ref="A19:K19"/>
    <mergeCell ref="A661:H661"/>
    <mergeCell ref="A593:E59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355"/>
  <sheetViews>
    <sheetView workbookViewId="0">
      <selection activeCell="A1" sqref="A1"/>
    </sheetView>
  </sheetViews>
  <sheetFormatPr baseColWidth="8" defaultRowHeight="14.45"/>
  <cols>
    <col width="64.7109375" customWidth="1" style="61" min="1" max="1"/>
    <col width="22.28515625" customWidth="1" style="61" min="2" max="2"/>
    <col width="18.5703125" customWidth="1" style="61" min="3" max="3"/>
    <col width="22.28515625" customWidth="1" style="61" min="4" max="4"/>
    <col width="18.5703125" customWidth="1" style="61" min="5" max="6"/>
    <col width="14.7109375" customWidth="1" style="61" min="7" max="7"/>
  </cols>
  <sheetData>
    <row r="1" ht="21" customHeight="1" s="61">
      <c r="A1" s="62" t="inlineStr">
        <is>
          <t>ONE-WAY ANOVA &amp; KRUSKAL-WALLIS TESTS - CATEGORY 4</t>
        </is>
      </c>
    </row>
    <row r="2">
      <c r="A2" s="63" t="inlineStr">
        <is>
          <t>Comparing Age Across Multiple Groups (3+ Categories)</t>
        </is>
      </c>
    </row>
    <row r="4">
      <c r="A4" s="2" t="inlineStr">
        <is>
          <t>ABOUT THESE TESTS:</t>
        </is>
      </c>
    </row>
    <row r="5">
      <c r="A5" t="inlineStr">
        <is>
          <t>One-Way ANOVA (Analysis of Variance): Parametric test comparing means of 3+ independent groups</t>
        </is>
      </c>
    </row>
    <row r="6">
      <c r="A6" t="inlineStr">
        <is>
          <t>• Assumes: Normal distribution within groups, homogeneity of variances, independent observations</t>
        </is>
      </c>
    </row>
    <row r="7">
      <c r="A7" t="inlineStr">
        <is>
          <t>• Null hypothesis: All group means are equal (μ1 = μ2 = μ3 = ... = μk)</t>
        </is>
      </c>
    </row>
    <row r="8">
      <c r="A8" t="inlineStr">
        <is>
          <t>• F-statistic = Between-group variance / Within-group variance</t>
        </is>
      </c>
    </row>
    <row r="10">
      <c r="A10" t="inlineStr">
        <is>
          <t>Kruskal-Wallis H Test: Non-parametric alternative to one-way ANOVA</t>
        </is>
      </c>
    </row>
    <row r="11">
      <c r="A11" t="inlineStr">
        <is>
          <t>• Does not require normal distribution or equal variances</t>
        </is>
      </c>
    </row>
    <row r="12">
      <c r="A12" t="inlineStr">
        <is>
          <t>• Compares ranks rather than means</t>
        </is>
      </c>
    </row>
    <row r="13">
      <c r="A13" t="inlineStr">
        <is>
          <t>• More robust for ordinal data or skewed distributions</t>
        </is>
      </c>
    </row>
    <row r="15">
      <c r="A15" t="inlineStr">
        <is>
          <t>Effect Size (Eta-squared η²): Small = 0.01, Medium = 0.06, Large = 0.14</t>
        </is>
      </c>
    </row>
    <row r="17">
      <c r="A17" t="inlineStr">
        <is>
          <t>Post-hoc Tests: Tukey HSD used for pairwise comparisons when ANOVA is significant</t>
        </is>
      </c>
    </row>
    <row r="20" ht="15.6" customHeight="1" s="61">
      <c r="A20" s="65" t="inlineStr">
        <is>
          <t>SUMMARY TABLE OF ALL ANOVA &amp; KRUSKAL-WALLIS RESULTS</t>
        </is>
      </c>
    </row>
    <row r="22">
      <c r="A22" s="53" t="inlineStr">
        <is>
          <t>#</t>
        </is>
      </c>
      <c r="B22" s="53" t="inlineStr">
        <is>
          <t>Grouping Variable</t>
        </is>
      </c>
      <c r="C22" s="53" t="inlineStr">
        <is>
          <t>Groups (k)</t>
        </is>
      </c>
      <c r="D22" s="53" t="inlineStr">
        <is>
          <t>N Total</t>
        </is>
      </c>
      <c r="E22" s="53" t="inlineStr">
        <is>
          <t>ANOVA F</t>
        </is>
      </c>
      <c r="F22" s="53" t="inlineStr">
        <is>
          <t>ANOVA p-value</t>
        </is>
      </c>
      <c r="G22" s="53" t="inlineStr">
        <is>
          <t>Kruskal-Wallis H</t>
        </is>
      </c>
      <c r="H22" s="53" t="inlineStr">
        <is>
          <t>K-W p-value</t>
        </is>
      </c>
      <c r="I22" s="53" t="inlineStr">
        <is>
          <t>Significant?</t>
        </is>
      </c>
      <c r="J22" s="53" t="inlineStr">
        <is>
          <t>η² (Eta-squared)</t>
        </is>
      </c>
      <c r="K22" s="53" t="inlineStr">
        <is>
          <t>Effect Size</t>
        </is>
      </c>
    </row>
    <row r="23">
      <c r="A23" s="25" t="n">
        <v>1</v>
      </c>
      <c r="B23" s="25" t="inlineStr">
        <is>
          <t>Education Level</t>
        </is>
      </c>
      <c r="C23" s="25" t="n">
        <v>4</v>
      </c>
      <c r="D23" s="25" t="n">
        <v>197</v>
      </c>
      <c r="E23" s="25" t="n">
        <v>7.939</v>
      </c>
      <c r="F23" s="25" t="n">
        <v>0.0001</v>
      </c>
      <c r="G23" s="25" t="n">
        <v>25.143</v>
      </c>
      <c r="H23" s="25" t="n">
        <v>0</v>
      </c>
      <c r="I23" s="25" t="inlineStr">
        <is>
          <t>YES ✓</t>
        </is>
      </c>
      <c r="J23" s="25" t="n">
        <v>0.11</v>
      </c>
      <c r="K23" s="25" t="inlineStr">
        <is>
          <t>Medium</t>
        </is>
      </c>
    </row>
    <row r="24">
      <c r="A24" s="25" t="n">
        <v>2</v>
      </c>
      <c r="B24" s="25" t="inlineStr">
        <is>
          <t>Occupation</t>
        </is>
      </c>
      <c r="C24" s="25" t="n">
        <v>4</v>
      </c>
      <c r="D24" s="25" t="n">
        <v>196</v>
      </c>
      <c r="E24" s="25" t="n">
        <v>9.973000000000001</v>
      </c>
      <c r="F24" s="25" t="n">
        <v>0</v>
      </c>
      <c r="G24" s="25" t="n">
        <v>42.594</v>
      </c>
      <c r="H24" s="25" t="n">
        <v>0</v>
      </c>
      <c r="I24" s="25" t="inlineStr">
        <is>
          <t>YES ✓</t>
        </is>
      </c>
      <c r="J24" s="25" t="n">
        <v>0.135</v>
      </c>
      <c r="K24" s="25" t="inlineStr">
        <is>
          <t>Medium</t>
        </is>
      </c>
    </row>
    <row r="25">
      <c r="A25" s="24" t="n">
        <v>3</v>
      </c>
      <c r="B25" s="24" t="inlineStr">
        <is>
          <t>Province</t>
        </is>
      </c>
      <c r="C25" s="24" t="n">
        <v>8</v>
      </c>
      <c r="D25" s="24" t="n">
        <v>198</v>
      </c>
      <c r="E25" s="24" t="n">
        <v>0.615</v>
      </c>
      <c r="F25" s="24" t="n">
        <v>0.7432</v>
      </c>
      <c r="G25" s="24" t="n">
        <v>6.173</v>
      </c>
      <c r="H25" s="24" t="n">
        <v>0.5196</v>
      </c>
      <c r="I25" s="24" t="inlineStr">
        <is>
          <t>NO</t>
        </is>
      </c>
      <c r="J25" s="24" t="n">
        <v>0.022</v>
      </c>
      <c r="K25" s="24" t="inlineStr">
        <is>
          <t>Small</t>
        </is>
      </c>
    </row>
    <row r="26">
      <c r="A26" s="25" t="n">
        <v>4</v>
      </c>
      <c r="B26" s="25" t="inlineStr">
        <is>
          <t>Income Level</t>
        </is>
      </c>
      <c r="C26" s="25" t="n">
        <v>4</v>
      </c>
      <c r="D26" s="25" t="n">
        <v>125</v>
      </c>
      <c r="E26" s="25" t="n">
        <v>4.561</v>
      </c>
      <c r="F26" s="25" t="n">
        <v>0.0046</v>
      </c>
      <c r="G26" s="25" t="n">
        <v>16.865</v>
      </c>
      <c r="H26" s="25" t="n">
        <v>0.0008</v>
      </c>
      <c r="I26" s="25" t="inlineStr">
        <is>
          <t>YES ✓</t>
        </is>
      </c>
      <c r="J26" s="25" t="n">
        <v>0.102</v>
      </c>
      <c r="K26" s="25" t="inlineStr">
        <is>
          <t>Medium</t>
        </is>
      </c>
    </row>
    <row r="28">
      <c r="A28" s="54" t="inlineStr">
        <is>
          <t>STATISTICALLY SIGNIFICANT FINDINGS (p &lt; 0.05): 3 out of 4 analyses</t>
        </is>
      </c>
    </row>
    <row r="31">
      <c r="A31" t="inlineStr">
        <is>
          <t>═══════════════════════════════════════════════════════════════════════════════════════════════════</t>
        </is>
      </c>
    </row>
    <row r="33" ht="18" customHeight="1" s="61">
      <c r="A33" s="78" t="inlineStr">
        <is>
          <t>ANALYSIS 1: AGE BY EDUCATION LEVEL</t>
        </is>
      </c>
    </row>
    <row r="35">
      <c r="A35" s="63" t="inlineStr">
        <is>
          <t>Research Question: Is there a significant difference in age across education levels?</t>
        </is>
      </c>
    </row>
    <row r="38">
      <c r="A38" s="2" t="inlineStr">
        <is>
          <t>DESCRIPTIVE STATISTICS BY GROUP</t>
        </is>
      </c>
    </row>
    <row r="40">
      <c r="A40" s="36" t="inlineStr">
        <is>
          <t>Education Level</t>
        </is>
      </c>
      <c r="B40" s="36" t="inlineStr">
        <is>
          <t>N</t>
        </is>
      </c>
      <c r="C40" s="36" t="inlineStr">
        <is>
          <t>Mean Age</t>
        </is>
      </c>
      <c r="D40" s="36" t="inlineStr">
        <is>
          <t>Std. Deviation</t>
        </is>
      </c>
      <c r="E40" s="36" t="inlineStr">
        <is>
          <t>Median</t>
        </is>
      </c>
      <c r="F40" s="36" t="inlineStr">
        <is>
          <t>Min</t>
        </is>
      </c>
      <c r="G40" s="36" t="inlineStr">
        <is>
          <t>Max</t>
        </is>
      </c>
    </row>
    <row r="41">
      <c r="A41" s="24" t="inlineStr">
        <is>
          <t>Graduate</t>
        </is>
      </c>
      <c r="B41" s="24" t="n">
        <v>36</v>
      </c>
      <c r="C41" s="24" t="n">
        <v>31.5</v>
      </c>
      <c r="D41" s="24" t="n">
        <v>8.09</v>
      </c>
      <c r="E41" s="24" t="n">
        <v>29</v>
      </c>
      <c r="F41" s="24" t="n">
        <v>20</v>
      </c>
      <c r="G41" s="24" t="n">
        <v>56</v>
      </c>
    </row>
    <row r="42">
      <c r="A42" s="24" t="inlineStr">
        <is>
          <t>Undergraduate</t>
        </is>
      </c>
      <c r="B42" s="24" t="n">
        <v>41</v>
      </c>
      <c r="C42" s="24" t="n">
        <v>24.37</v>
      </c>
      <c r="D42" s="24" t="n">
        <v>1.62</v>
      </c>
      <c r="E42" s="24" t="n">
        <v>24</v>
      </c>
      <c r="F42" s="24" t="n">
        <v>21</v>
      </c>
      <c r="G42" s="24" t="n">
        <v>29</v>
      </c>
    </row>
    <row r="43">
      <c r="A43" s="24" t="inlineStr">
        <is>
          <t>Up to A/L</t>
        </is>
      </c>
      <c r="B43" s="24" t="n">
        <v>83</v>
      </c>
      <c r="C43" s="24" t="n">
        <v>30.27</v>
      </c>
      <c r="D43" s="24" t="n">
        <v>10.24</v>
      </c>
      <c r="E43" s="24" t="n">
        <v>26</v>
      </c>
      <c r="F43" s="24" t="n">
        <v>15</v>
      </c>
      <c r="G43" s="24" t="n">
        <v>63</v>
      </c>
    </row>
    <row r="44">
      <c r="A44" s="24" t="inlineStr">
        <is>
          <t>Up to O/L</t>
        </is>
      </c>
      <c r="B44" s="24" t="n">
        <v>37</v>
      </c>
      <c r="C44" s="24" t="n">
        <v>34.41</v>
      </c>
      <c r="D44" s="24" t="n">
        <v>12.99</v>
      </c>
      <c r="E44" s="24" t="n">
        <v>36</v>
      </c>
      <c r="F44" s="24" t="n">
        <v>18</v>
      </c>
      <c r="G44" s="24" t="n">
        <v>63</v>
      </c>
    </row>
    <row r="47">
      <c r="A47" s="2" t="inlineStr">
        <is>
          <t>ONE-WAY ANOVA TABLE</t>
        </is>
      </c>
    </row>
    <row r="49">
      <c r="A49" s="6" t="inlineStr">
        <is>
          <t>Source of Variation</t>
        </is>
      </c>
      <c r="B49" s="6" t="inlineStr">
        <is>
          <t>Sum of Squares (SS)</t>
        </is>
      </c>
      <c r="C49" s="6" t="inlineStr">
        <is>
          <t>Degrees of Freedom (df)</t>
        </is>
      </c>
      <c r="D49" s="6" t="inlineStr">
        <is>
          <t>Mean Square (MS)</t>
        </is>
      </c>
      <c r="E49" s="6" t="inlineStr">
        <is>
          <t>F-statistic</t>
        </is>
      </c>
      <c r="F49" s="6" t="inlineStr">
        <is>
          <t>P-value</t>
        </is>
      </c>
    </row>
    <row r="50">
      <c r="A50" t="inlineStr">
        <is>
          <t>Between Groups</t>
        </is>
      </c>
      <c r="B50" t="n">
        <v>2074.65</v>
      </c>
      <c r="C50" t="n">
        <v>3</v>
      </c>
      <c r="D50" t="n">
        <v>691.55</v>
      </c>
      <c r="E50" t="n">
        <v>7.939</v>
      </c>
      <c r="F50" t="n">
        <v>5e-05</v>
      </c>
    </row>
    <row r="51">
      <c r="A51" t="inlineStr">
        <is>
          <t>Within Groups</t>
        </is>
      </c>
      <c r="B51" t="n">
        <v>16817.57</v>
      </c>
      <c r="C51" t="n">
        <v>193</v>
      </c>
      <c r="D51" t="n">
        <v>87.14</v>
      </c>
    </row>
    <row r="52">
      <c r="A52" t="inlineStr">
        <is>
          <t>Total</t>
        </is>
      </c>
      <c r="B52" t="n">
        <v>18892.22</v>
      </c>
      <c r="C52" t="n">
        <v>196</v>
      </c>
    </row>
    <row r="55">
      <c r="A55" s="2" t="inlineStr">
        <is>
          <t>STATISTICAL RESULTS</t>
        </is>
      </c>
    </row>
    <row r="57">
      <c r="A57" t="inlineStr">
        <is>
          <t>F-statistic:</t>
        </is>
      </c>
      <c r="B57" t="n">
        <v>7.939</v>
      </c>
    </row>
    <row r="58">
      <c r="A58" t="inlineStr">
        <is>
          <t>Degrees of Freedom (between):</t>
        </is>
      </c>
      <c r="B58" t="n">
        <v>3</v>
      </c>
    </row>
    <row r="59">
      <c r="A59" t="inlineStr">
        <is>
          <t>Degrees of Freedom (within):</t>
        </is>
      </c>
      <c r="B59" t="n">
        <v>193</v>
      </c>
    </row>
    <row r="60">
      <c r="A60" t="inlineStr">
        <is>
          <t>P-value:</t>
        </is>
      </c>
      <c r="B60" t="n">
        <v>5e-05</v>
      </c>
    </row>
    <row r="61">
      <c r="A61" t="inlineStr">
        <is>
          <t>Significant at α=0.05?</t>
        </is>
      </c>
      <c r="B61" t="inlineStr">
        <is>
          <t>YES ✓</t>
        </is>
      </c>
    </row>
    <row r="62">
      <c r="A62" t="inlineStr">
        <is>
          <t>Critical F-value (α=0.05):</t>
        </is>
      </c>
      <c r="B62">
        <f>_xlfn.F.INV.RT(0.05,3,193)</f>
        <v/>
      </c>
    </row>
    <row r="63">
      <c r="A63" t="inlineStr">
        <is>
          <t>Eta-squared (η²):</t>
        </is>
      </c>
      <c r="B63" t="n">
        <v>0.11</v>
      </c>
    </row>
    <row r="65">
      <c r="A65" s="2" t="inlineStr">
        <is>
          <t>Effect Size Interpretation:</t>
        </is>
      </c>
      <c r="B65" t="inlineStr">
        <is>
          <t>Medium effect (η² = 0.11, where 0.06-0.14 is medium)</t>
        </is>
      </c>
    </row>
    <row r="68">
      <c r="A68" s="2" t="inlineStr">
        <is>
          <t>KRUSKAL-WALLIS H TEST (Non-parametric alternative)</t>
        </is>
      </c>
    </row>
    <row r="70">
      <c r="A70" t="inlineStr">
        <is>
          <t>H-statistic:</t>
        </is>
      </c>
      <c r="B70" t="n">
        <v>25.143</v>
      </c>
    </row>
    <row r="71">
      <c r="A71" t="inlineStr">
        <is>
          <t>Degrees of Freedom:</t>
        </is>
      </c>
      <c r="B71" t="n">
        <v>3</v>
      </c>
    </row>
    <row r="72">
      <c r="A72" t="inlineStr">
        <is>
          <t>P-value:</t>
        </is>
      </c>
      <c r="B72" t="n">
        <v>1e-05</v>
      </c>
    </row>
    <row r="73">
      <c r="A73" t="inlineStr">
        <is>
          <t>Significant at α=0.05?</t>
        </is>
      </c>
      <c r="B73" t="inlineStr">
        <is>
          <t>YES ✓</t>
        </is>
      </c>
    </row>
    <row r="74">
      <c r="A74" t="inlineStr">
        <is>
          <t>Conclusion:</t>
        </is>
      </c>
      <c r="B74" t="inlineStr">
        <is>
          <t>Confirms ANOVA result - significant difference exists</t>
        </is>
      </c>
    </row>
    <row r="77">
      <c r="A77" s="2" t="inlineStr">
        <is>
          <t>POST-HOC ANALYSIS: TUKEY HSD PAIRWISE COMPARISONS</t>
        </is>
      </c>
    </row>
    <row r="79">
      <c r="A79" s="56" t="inlineStr">
        <is>
          <t>Comparison</t>
        </is>
      </c>
      <c r="B79" s="56" t="inlineStr">
        <is>
          <t>Mean Diff</t>
        </is>
      </c>
      <c r="C79" s="56" t="inlineStr">
        <is>
          <t>Std. Error</t>
        </is>
      </c>
      <c r="D79" s="56" t="inlineStr">
        <is>
          <t>P-value</t>
        </is>
      </c>
      <c r="E79" s="56" t="inlineStr">
        <is>
          <t>Significant?</t>
        </is>
      </c>
      <c r="F79" s="56" t="inlineStr">
        <is>
          <t>Interpretation</t>
        </is>
      </c>
    </row>
    <row r="80">
      <c r="A80" s="25" t="inlineStr">
        <is>
          <t>Graduate vs Undergraduate</t>
        </is>
      </c>
      <c r="B80" s="25" t="n">
        <v>7.13</v>
      </c>
      <c r="C80" s="25" t="n">
        <v>2.14</v>
      </c>
      <c r="D80" s="25" t="n">
        <v>0.0059</v>
      </c>
      <c r="E80" s="25" t="inlineStr">
        <is>
          <t>YES ✓</t>
        </is>
      </c>
      <c r="F80" s="25" t="inlineStr">
        <is>
          <t>Graduates are significantly OLDER</t>
        </is>
      </c>
    </row>
    <row r="81">
      <c r="A81" s="24" t="inlineStr">
        <is>
          <t>Graduate vs Up to A/L</t>
        </is>
      </c>
      <c r="B81" s="24" t="n">
        <v>1.23</v>
      </c>
      <c r="C81" s="24" t="n">
        <v>1.81</v>
      </c>
      <c r="D81" s="24" t="n">
        <v>0.9126</v>
      </c>
      <c r="E81" s="24" t="inlineStr">
        <is>
          <t>NO</t>
        </is>
      </c>
      <c r="F81" s="24" t="inlineStr">
        <is>
          <t>No significant difference</t>
        </is>
      </c>
    </row>
    <row r="82">
      <c r="A82" s="24" t="inlineStr">
        <is>
          <t>Graduate vs Up to O/L</t>
        </is>
      </c>
      <c r="B82" s="24" t="n">
        <v>-2.91</v>
      </c>
      <c r="C82" s="24" t="n">
        <v>2.17</v>
      </c>
      <c r="D82" s="24" t="n">
        <v>0.5514</v>
      </c>
      <c r="E82" s="24" t="inlineStr">
        <is>
          <t>NO</t>
        </is>
      </c>
      <c r="F82" s="24" t="inlineStr">
        <is>
          <t>No significant difference</t>
        </is>
      </c>
    </row>
    <row r="83">
      <c r="A83" s="25" t="inlineStr">
        <is>
          <t>Undergraduate vs Up to A/L</t>
        </is>
      </c>
      <c r="B83" s="25" t="n">
        <v>-5.9</v>
      </c>
      <c r="C83" s="25" t="n">
        <v>1.66</v>
      </c>
      <c r="D83" s="25" t="n">
        <v>0.0066</v>
      </c>
      <c r="E83" s="25" t="inlineStr">
        <is>
          <t>YES ✓</t>
        </is>
      </c>
      <c r="F83" s="25" t="inlineStr">
        <is>
          <t>Undergraduates are significantly YOUNGER</t>
        </is>
      </c>
    </row>
    <row r="84">
      <c r="A84" s="25" t="inlineStr">
        <is>
          <t>Undergraduate vs Up to O/L</t>
        </is>
      </c>
      <c r="B84" s="25" t="n">
        <v>-10.04</v>
      </c>
      <c r="C84" s="25" t="n">
        <v>2.02</v>
      </c>
      <c r="D84" s="25" t="n">
        <v>0</v>
      </c>
      <c r="E84" s="25" t="inlineStr">
        <is>
          <t>YES ✓</t>
        </is>
      </c>
      <c r="F84" s="25" t="inlineStr">
        <is>
          <t>Undergraduates are significantly YOUNGER</t>
        </is>
      </c>
    </row>
    <row r="85">
      <c r="A85" s="24" t="inlineStr">
        <is>
          <t>Up to A/L vs Up to O/L</t>
        </is>
      </c>
      <c r="B85" s="24" t="n">
        <v>-4.14</v>
      </c>
      <c r="C85" s="24" t="n">
        <v>1.84</v>
      </c>
      <c r="D85" s="24" t="n">
        <v>0.1195</v>
      </c>
      <c r="E85" s="24" t="inlineStr">
        <is>
          <t>NO</t>
        </is>
      </c>
      <c r="F85" s="24" t="inlineStr">
        <is>
          <t>No significant difference</t>
        </is>
      </c>
    </row>
    <row r="88">
      <c r="A88" s="57" t="inlineStr">
        <is>
          <t>KEY FINDING:</t>
        </is>
      </c>
      <c r="B88" t="inlineStr">
        <is>
          <t>Undergraduates (Mean=24.4 years) are significantly younger than all other education groups.</t>
        </is>
      </c>
    </row>
    <row r="90">
      <c r="A90" t="inlineStr">
        <is>
          <t>This is expected as undergraduates are typically in their early-to-mid 20s by definition.</t>
        </is>
      </c>
    </row>
    <row r="93">
      <c r="A93" t="inlineStr">
        <is>
          <t>═══════════════════════════════════════════════════════════════════════════════════════════════════</t>
        </is>
      </c>
    </row>
    <row r="95" ht="18" customHeight="1" s="61">
      <c r="A95" s="78" t="inlineStr">
        <is>
          <t>ANALYSIS 2: AGE BY OCCUPATION</t>
        </is>
      </c>
    </row>
    <row r="97">
      <c r="A97" s="63" t="inlineStr">
        <is>
          <t>Research Question: Is there a significant difference in age across occupation categories?</t>
        </is>
      </c>
    </row>
    <row r="100">
      <c r="A100" s="2" t="inlineStr">
        <is>
          <t>DESCRIPTIVE STATISTICS BY GROUP</t>
        </is>
      </c>
    </row>
    <row r="102">
      <c r="A102" s="36" t="inlineStr">
        <is>
          <t>Occupation</t>
        </is>
      </c>
      <c r="B102" s="36" t="inlineStr">
        <is>
          <t>N</t>
        </is>
      </c>
      <c r="C102" s="36" t="inlineStr">
        <is>
          <t>Mean Age</t>
        </is>
      </c>
      <c r="D102" s="36" t="inlineStr">
        <is>
          <t>Std. Deviation</t>
        </is>
      </c>
      <c r="E102" s="36" t="inlineStr">
        <is>
          <t>Median</t>
        </is>
      </c>
      <c r="F102" s="36" t="inlineStr">
        <is>
          <t>Min</t>
        </is>
      </c>
      <c r="G102" s="36" t="inlineStr">
        <is>
          <t>Max</t>
        </is>
      </c>
    </row>
    <row r="103">
      <c r="A103" s="24" t="inlineStr">
        <is>
          <t>Government sector</t>
        </is>
      </c>
      <c r="B103" s="24" t="n">
        <v>47</v>
      </c>
      <c r="C103" s="24" t="n">
        <v>32.7</v>
      </c>
      <c r="D103" s="24" t="n">
        <v>9.720000000000001</v>
      </c>
      <c r="E103" s="24" t="n">
        <v>29</v>
      </c>
      <c r="F103" s="24" t="n">
        <v>20</v>
      </c>
      <c r="G103" s="24" t="n">
        <v>56</v>
      </c>
    </row>
    <row r="104">
      <c r="A104" s="24" t="inlineStr">
        <is>
          <t>Private sector</t>
        </is>
      </c>
      <c r="B104" s="24" t="n">
        <v>66</v>
      </c>
      <c r="C104" s="24" t="n">
        <v>31.48</v>
      </c>
      <c r="D104" s="24" t="n">
        <v>9.33</v>
      </c>
      <c r="E104" s="24" t="n">
        <v>28</v>
      </c>
      <c r="F104" s="24" t="n">
        <v>18</v>
      </c>
      <c r="G104" s="24" t="n">
        <v>61</v>
      </c>
    </row>
    <row r="105">
      <c r="A105" s="24" t="inlineStr">
        <is>
          <t>Self-employed</t>
        </is>
      </c>
      <c r="B105" s="24" t="n">
        <v>8</v>
      </c>
      <c r="C105" s="24" t="n">
        <v>40.75</v>
      </c>
      <c r="D105" s="24" t="n">
        <v>11.78</v>
      </c>
      <c r="E105" s="24" t="n">
        <v>41</v>
      </c>
      <c r="F105" s="24" t="n">
        <v>24</v>
      </c>
      <c r="G105" s="24" t="n">
        <v>63</v>
      </c>
    </row>
    <row r="106">
      <c r="A106" s="24" t="inlineStr">
        <is>
          <t>Not employed</t>
        </is>
      </c>
      <c r="B106" s="24" t="n">
        <v>75</v>
      </c>
      <c r="C106" s="24" t="n">
        <v>26.05</v>
      </c>
      <c r="D106" s="24" t="n">
        <v>8.69</v>
      </c>
      <c r="E106" s="24" t="n">
        <v>24</v>
      </c>
      <c r="F106" s="24" t="n">
        <v>15</v>
      </c>
      <c r="G106" s="24" t="n">
        <v>56</v>
      </c>
    </row>
    <row r="109">
      <c r="A109" s="2" t="inlineStr">
        <is>
          <t>ONE-WAY ANOVA TABLE</t>
        </is>
      </c>
    </row>
    <row r="111">
      <c r="A111" s="6" t="inlineStr">
        <is>
          <t>Source of Variation</t>
        </is>
      </c>
      <c r="B111" s="6" t="inlineStr">
        <is>
          <t>Sum of Squares (SS)</t>
        </is>
      </c>
      <c r="C111" s="6" t="inlineStr">
        <is>
          <t>Degrees of Freedom (df)</t>
        </is>
      </c>
      <c r="D111" s="6" t="inlineStr">
        <is>
          <t>Mean Square (MS)</t>
        </is>
      </c>
      <c r="E111" s="6" t="inlineStr">
        <is>
          <t>F-statistic</t>
        </is>
      </c>
      <c r="F111" s="6" t="inlineStr">
        <is>
          <t>P-value</t>
        </is>
      </c>
    </row>
    <row r="112">
      <c r="A112" t="inlineStr">
        <is>
          <t>Between Groups</t>
        </is>
      </c>
      <c r="B112" t="n">
        <v>2508.73</v>
      </c>
      <c r="C112" t="n">
        <v>3</v>
      </c>
      <c r="D112" t="n">
        <v>836.24</v>
      </c>
      <c r="E112" t="n">
        <v>9.973000000000001</v>
      </c>
      <c r="F112" t="n">
        <v>4e-06</v>
      </c>
    </row>
    <row r="113">
      <c r="A113" t="inlineStr">
        <is>
          <t>Within Groups</t>
        </is>
      </c>
      <c r="B113" t="n">
        <v>16098.93</v>
      </c>
      <c r="C113" t="n">
        <v>192</v>
      </c>
      <c r="D113" t="n">
        <v>83.84999999999999</v>
      </c>
    </row>
    <row r="114">
      <c r="A114" t="inlineStr">
        <is>
          <t>Total</t>
        </is>
      </c>
      <c r="B114" t="n">
        <v>18607.66</v>
      </c>
      <c r="C114" t="n">
        <v>195</v>
      </c>
    </row>
    <row r="117">
      <c r="A117" s="2" t="inlineStr">
        <is>
          <t>STATISTICAL RESULTS</t>
        </is>
      </c>
    </row>
    <row r="119">
      <c r="A119" t="inlineStr">
        <is>
          <t>F-statistic:</t>
        </is>
      </c>
      <c r="B119" t="n">
        <v>9.973000000000001</v>
      </c>
    </row>
    <row r="120">
      <c r="A120" t="inlineStr">
        <is>
          <t>Degrees of Freedom (between):</t>
        </is>
      </c>
      <c r="B120" t="n">
        <v>3</v>
      </c>
    </row>
    <row r="121">
      <c r="A121" t="inlineStr">
        <is>
          <t>Degrees of Freedom (within):</t>
        </is>
      </c>
      <c r="B121" t="n">
        <v>192</v>
      </c>
    </row>
    <row r="122">
      <c r="A122" t="inlineStr">
        <is>
          <t>P-value:</t>
        </is>
      </c>
      <c r="B122" t="n">
        <v>4e-06</v>
      </c>
    </row>
    <row r="123">
      <c r="A123" t="inlineStr">
        <is>
          <t>Significant at α=0.05?</t>
        </is>
      </c>
      <c r="B123" t="inlineStr">
        <is>
          <t>YES ✓</t>
        </is>
      </c>
    </row>
    <row r="124">
      <c r="A124" t="inlineStr">
        <is>
          <t>Critical F-value (α=0.05):</t>
        </is>
      </c>
      <c r="B124">
        <f>_xlfn.F.INV.RT(0.05,3,192)</f>
        <v/>
      </c>
    </row>
    <row r="125">
      <c r="A125" t="inlineStr">
        <is>
          <t>Eta-squared (η²):</t>
        </is>
      </c>
      <c r="B125" t="n">
        <v>0.135</v>
      </c>
    </row>
    <row r="127">
      <c r="A127" s="2" t="inlineStr">
        <is>
          <t>Effect Size Interpretation:</t>
        </is>
      </c>
      <c r="B127" t="inlineStr">
        <is>
          <t>Medium-Large effect (η² = 0.135, approaching large effect threshold of 0.14)</t>
        </is>
      </c>
    </row>
    <row r="130">
      <c r="A130" s="2" t="inlineStr">
        <is>
          <t>KRUSKAL-WALLIS H TEST (Non-parametric alternative)</t>
        </is>
      </c>
    </row>
    <row r="132">
      <c r="A132" t="inlineStr">
        <is>
          <t>H-statistic:</t>
        </is>
      </c>
      <c r="B132" t="n">
        <v>42.594</v>
      </c>
    </row>
    <row r="133">
      <c r="A133" t="inlineStr">
        <is>
          <t>Degrees of Freedom:</t>
        </is>
      </c>
      <c r="B133" t="n">
        <v>3</v>
      </c>
    </row>
    <row r="134">
      <c r="A134" t="inlineStr">
        <is>
          <t>P-value:</t>
        </is>
      </c>
      <c r="B134" t="n">
        <v>3e-09</v>
      </c>
    </row>
    <row r="135">
      <c r="A135" t="inlineStr">
        <is>
          <t>Significant at α=0.05?</t>
        </is>
      </c>
      <c r="B135" t="inlineStr">
        <is>
          <t>YES ✓</t>
        </is>
      </c>
    </row>
    <row r="136">
      <c r="A136" t="inlineStr">
        <is>
          <t>Conclusion:</t>
        </is>
      </c>
      <c r="B136" t="inlineStr">
        <is>
          <t>Confirms ANOVA result - highly significant difference exists</t>
        </is>
      </c>
    </row>
    <row r="139">
      <c r="A139" s="2" t="inlineStr">
        <is>
          <t>POST-HOC ANALYSIS: TUKEY HSD PAIRWISE COMPARISONS</t>
        </is>
      </c>
    </row>
    <row r="141">
      <c r="A141" s="56" t="inlineStr">
        <is>
          <t>Comparison</t>
        </is>
      </c>
      <c r="B141" s="56" t="inlineStr">
        <is>
          <t>Mean Diff</t>
        </is>
      </c>
      <c r="C141" s="56" t="inlineStr">
        <is>
          <t>Std. Error</t>
        </is>
      </c>
      <c r="D141" s="56" t="inlineStr">
        <is>
          <t>P-value</t>
        </is>
      </c>
      <c r="E141" s="56" t="inlineStr">
        <is>
          <t>Significant?</t>
        </is>
      </c>
      <c r="F141" s="56" t="inlineStr">
        <is>
          <t>Interpretation</t>
        </is>
      </c>
    </row>
    <row r="142">
      <c r="A142" s="25" t="inlineStr">
        <is>
          <t>Government vs Not employed</t>
        </is>
      </c>
      <c r="B142" s="25" t="n">
        <v>6.65</v>
      </c>
      <c r="C142" s="25" t="n">
        <v>1.76</v>
      </c>
      <c r="D142" s="25" t="n">
        <v>0.0009</v>
      </c>
      <c r="E142" s="25" t="inlineStr">
        <is>
          <t>YES ✓</t>
        </is>
      </c>
      <c r="F142" s="25" t="inlineStr">
        <is>
          <t>Government workers significantly OLDER</t>
        </is>
      </c>
    </row>
    <row r="143">
      <c r="A143" s="24" t="inlineStr">
        <is>
          <t>Government vs Private</t>
        </is>
      </c>
      <c r="B143" s="24" t="n">
        <v>1.22</v>
      </c>
      <c r="C143" s="24" t="n">
        <v>1.76</v>
      </c>
      <c r="D143" s="24" t="n">
        <v>0.902</v>
      </c>
      <c r="E143" s="24" t="inlineStr">
        <is>
          <t>NO</t>
        </is>
      </c>
      <c r="F143" s="24" t="inlineStr">
        <is>
          <t>No significant difference</t>
        </is>
      </c>
    </row>
    <row r="144">
      <c r="A144" s="24" t="inlineStr">
        <is>
          <t>Government vs Self-employed</t>
        </is>
      </c>
      <c r="B144" s="24" t="n">
        <v>-8.050000000000001</v>
      </c>
      <c r="C144" s="24" t="n">
        <v>3.51</v>
      </c>
      <c r="D144" s="24" t="n">
        <v>0.1097</v>
      </c>
      <c r="E144" s="24" t="inlineStr">
        <is>
          <t>NO</t>
        </is>
      </c>
      <c r="F144" s="24" t="inlineStr">
        <is>
          <t>No significant difference</t>
        </is>
      </c>
    </row>
    <row r="145">
      <c r="A145" s="25" t="inlineStr">
        <is>
          <t>Private vs Not employed</t>
        </is>
      </c>
      <c r="B145" s="25" t="n">
        <v>5.43</v>
      </c>
      <c r="C145" s="25" t="n">
        <v>1.56</v>
      </c>
      <c r="D145" s="25" t="n">
        <v>0.0036</v>
      </c>
      <c r="E145" s="25" t="inlineStr">
        <is>
          <t>YES ✓</t>
        </is>
      </c>
      <c r="F145" s="25" t="inlineStr">
        <is>
          <t>Private workers significantly OLDER</t>
        </is>
      </c>
    </row>
    <row r="146">
      <c r="A146" s="25" t="inlineStr">
        <is>
          <t>Private vs Self-employed</t>
        </is>
      </c>
      <c r="B146" s="25" t="n">
        <v>-9.27</v>
      </c>
      <c r="C146" s="25" t="n">
        <v>3.42</v>
      </c>
      <c r="D146" s="25" t="n">
        <v>0.0413</v>
      </c>
      <c r="E146" s="25" t="inlineStr">
        <is>
          <t>YES ✓</t>
        </is>
      </c>
      <c r="F146" s="25" t="inlineStr">
        <is>
          <t>Self-employed significantly OLDER</t>
        </is>
      </c>
    </row>
    <row r="147">
      <c r="A147" s="25" t="inlineStr">
        <is>
          <t>Not employed vs Self-employed</t>
        </is>
      </c>
      <c r="B147" s="25" t="n">
        <v>-14.7</v>
      </c>
      <c r="C147" s="25" t="n">
        <v>3.49</v>
      </c>
      <c r="D147" s="25" t="n">
        <v>0.0002</v>
      </c>
      <c r="E147" s="25" t="inlineStr">
        <is>
          <t>YES ✓</t>
        </is>
      </c>
      <c r="F147" s="25" t="inlineStr">
        <is>
          <t>Self-employed significantly OLDER</t>
        </is>
      </c>
    </row>
    <row r="150">
      <c r="A150" s="58" t="inlineStr">
        <is>
          <t>KEY FINDING:</t>
        </is>
      </c>
      <c r="B150" t="inlineStr">
        <is>
          <t>Not employed carriers (Mean=26.1 years) are significantly younger than all employed groups.</t>
        </is>
      </c>
    </row>
    <row r="152">
      <c r="A152" t="inlineStr">
        <is>
          <t>Self-employed individuals (Mean=40.8 years) are the oldest group, likely reflecting career progression.</t>
        </is>
      </c>
    </row>
    <row r="155">
      <c r="A155" t="inlineStr">
        <is>
          <t>═══════════════════════════════════════════════════════════════════════════════════════════════════</t>
        </is>
      </c>
    </row>
    <row r="157" ht="18" customHeight="1" s="61">
      <c r="A157" s="78" t="inlineStr">
        <is>
          <t>ANALYSIS 3: AGE BY PROVINCE</t>
        </is>
      </c>
    </row>
    <row r="159">
      <c r="A159" s="63" t="inlineStr">
        <is>
          <t>Research Question: Is there a significant difference in age across provinces in Sri Lanka?</t>
        </is>
      </c>
    </row>
    <row r="162">
      <c r="A162" s="2" t="inlineStr">
        <is>
          <t>DESCRIPTIVE STATISTICS BY GROUP</t>
        </is>
      </c>
    </row>
    <row r="164">
      <c r="A164" s="36" t="inlineStr">
        <is>
          <t>Province</t>
        </is>
      </c>
      <c r="B164" s="36" t="inlineStr">
        <is>
          <t>N</t>
        </is>
      </c>
      <c r="C164" s="36" t="inlineStr">
        <is>
          <t>Mean Age</t>
        </is>
      </c>
      <c r="D164" s="36" t="inlineStr">
        <is>
          <t>Std. Deviation</t>
        </is>
      </c>
      <c r="E164" s="36" t="inlineStr">
        <is>
          <t>Median</t>
        </is>
      </c>
      <c r="F164" s="36" t="inlineStr">
        <is>
          <t>Min</t>
        </is>
      </c>
      <c r="G164" s="36" t="inlineStr">
        <is>
          <t>Max</t>
        </is>
      </c>
    </row>
    <row r="165">
      <c r="A165" s="24" t="inlineStr">
        <is>
          <t>Western</t>
        </is>
      </c>
      <c r="B165" s="24" t="n">
        <v>118</v>
      </c>
      <c r="C165" s="24" t="n">
        <v>29.53</v>
      </c>
      <c r="D165" s="24" t="n">
        <v>10.22</v>
      </c>
      <c r="E165" s="24" t="n">
        <v>25</v>
      </c>
      <c r="F165" s="24" t="n">
        <v>15</v>
      </c>
      <c r="G165" s="24" t="n">
        <v>63</v>
      </c>
    </row>
    <row r="166">
      <c r="A166" s="24" t="inlineStr">
        <is>
          <t>North Western</t>
        </is>
      </c>
      <c r="B166" s="24" t="n">
        <v>41</v>
      </c>
      <c r="C166" s="24" t="n">
        <v>32.27</v>
      </c>
      <c r="D166" s="24" t="n">
        <v>11.47</v>
      </c>
      <c r="E166" s="24" t="n">
        <v>27</v>
      </c>
      <c r="F166" s="24" t="n">
        <v>18</v>
      </c>
      <c r="G166" s="24" t="n">
        <v>63</v>
      </c>
    </row>
    <row r="167">
      <c r="A167" s="24" t="inlineStr">
        <is>
          <t>Eastern</t>
        </is>
      </c>
      <c r="B167" s="24" t="n">
        <v>11</v>
      </c>
      <c r="C167" s="24" t="n">
        <v>27.55</v>
      </c>
      <c r="D167" s="24" t="n">
        <v>6.88</v>
      </c>
      <c r="E167" s="24" t="n">
        <v>27</v>
      </c>
      <c r="F167" s="24" t="n">
        <v>20</v>
      </c>
      <c r="G167" s="24" t="n">
        <v>43</v>
      </c>
    </row>
    <row r="168">
      <c r="A168" s="24" t="inlineStr">
        <is>
          <t>North Central</t>
        </is>
      </c>
      <c r="B168" s="24" t="n">
        <v>9</v>
      </c>
      <c r="C168" s="24" t="n">
        <v>31.33</v>
      </c>
      <c r="D168" s="24" t="n">
        <v>5.41</v>
      </c>
      <c r="E168" s="24" t="n">
        <v>29</v>
      </c>
      <c r="F168" s="24" t="n">
        <v>24</v>
      </c>
      <c r="G168" s="24" t="n">
        <v>40</v>
      </c>
    </row>
    <row r="169">
      <c r="A169" s="24" t="inlineStr">
        <is>
          <t>Central</t>
        </is>
      </c>
      <c r="B169" s="24" t="n">
        <v>6</v>
      </c>
      <c r="C169" s="24" t="n">
        <v>25.83</v>
      </c>
      <c r="D169" s="24" t="n">
        <v>1.72</v>
      </c>
      <c r="E169" s="24" t="n">
        <v>26</v>
      </c>
      <c r="F169" s="24" t="n">
        <v>23</v>
      </c>
      <c r="G169" s="24" t="n">
        <v>28</v>
      </c>
    </row>
    <row r="170">
      <c r="A170" s="24" t="inlineStr">
        <is>
          <t>Sabaragamuwa</t>
        </is>
      </c>
      <c r="B170" s="24" t="n">
        <v>5</v>
      </c>
      <c r="C170" s="24" t="n">
        <v>30.6</v>
      </c>
      <c r="D170" s="24" t="n">
        <v>11.55</v>
      </c>
      <c r="E170" s="24" t="n">
        <v>24</v>
      </c>
      <c r="F170" s="24" t="n">
        <v>21</v>
      </c>
      <c r="G170" s="24" t="n">
        <v>49</v>
      </c>
    </row>
    <row r="171">
      <c r="A171" s="24" t="inlineStr">
        <is>
          <t>Southern</t>
        </is>
      </c>
      <c r="B171" s="24" t="n">
        <v>4</v>
      </c>
      <c r="C171" s="24" t="n">
        <v>30.25</v>
      </c>
      <c r="D171" s="24" t="n">
        <v>5.25</v>
      </c>
      <c r="E171" s="24" t="n">
        <v>28</v>
      </c>
      <c r="F171" s="24" t="n">
        <v>26</v>
      </c>
      <c r="G171" s="24" t="n">
        <v>39</v>
      </c>
    </row>
    <row r="172">
      <c r="A172" s="24" t="inlineStr">
        <is>
          <t>Uva</t>
        </is>
      </c>
      <c r="B172" s="24" t="n">
        <v>4</v>
      </c>
      <c r="C172" s="24" t="n">
        <v>29.25</v>
      </c>
      <c r="D172" s="24" t="n">
        <v>5.19</v>
      </c>
      <c r="E172" s="24" t="n">
        <v>27</v>
      </c>
      <c r="F172" s="24" t="n">
        <v>25</v>
      </c>
      <c r="G172" s="24" t="n">
        <v>37</v>
      </c>
    </row>
    <row r="173">
      <c r="A173" s="59" t="inlineStr">
        <is>
          <t>Note: Northern Province excluded due to n=1 (insufficient for analysis)</t>
        </is>
      </c>
    </row>
    <row r="176">
      <c r="A176" s="2" t="inlineStr">
        <is>
          <t>ONE-WAY ANOVA TABLE</t>
        </is>
      </c>
    </row>
    <row r="178">
      <c r="A178" s="6" t="inlineStr">
        <is>
          <t>Source of Variation</t>
        </is>
      </c>
      <c r="B178" s="6" t="inlineStr">
        <is>
          <t>Sum of Squares (SS)</t>
        </is>
      </c>
      <c r="C178" s="6" t="inlineStr">
        <is>
          <t>Degrees of Freedom (df)</t>
        </is>
      </c>
      <c r="D178" s="6" t="inlineStr">
        <is>
          <t>Mean Square (MS)</t>
        </is>
      </c>
      <c r="E178" s="6" t="inlineStr">
        <is>
          <t>F-statistic</t>
        </is>
      </c>
      <c r="F178" s="6" t="inlineStr">
        <is>
          <t>P-value</t>
        </is>
      </c>
    </row>
    <row r="179">
      <c r="A179" t="inlineStr">
        <is>
          <t>Between Groups</t>
        </is>
      </c>
      <c r="B179" t="n">
        <v>418.52</v>
      </c>
      <c r="C179" t="n">
        <v>7</v>
      </c>
      <c r="D179" t="n">
        <v>59.79</v>
      </c>
      <c r="E179" t="n">
        <v>0.615</v>
      </c>
      <c r="F179" t="n">
        <v>0.7432</v>
      </c>
    </row>
    <row r="180">
      <c r="A180" t="inlineStr">
        <is>
          <t>Within Groups</t>
        </is>
      </c>
      <c r="B180" t="n">
        <v>18472.33</v>
      </c>
      <c r="C180" t="n">
        <v>190</v>
      </c>
      <c r="D180" t="n">
        <v>97.22</v>
      </c>
    </row>
    <row r="181">
      <c r="A181" t="inlineStr">
        <is>
          <t>Total</t>
        </is>
      </c>
      <c r="B181" t="n">
        <v>18890.85</v>
      </c>
      <c r="C181" t="n">
        <v>197</v>
      </c>
    </row>
    <row r="184">
      <c r="A184" s="2" t="inlineStr">
        <is>
          <t>STATISTICAL RESULTS</t>
        </is>
      </c>
    </row>
    <row r="186">
      <c r="A186" t="inlineStr">
        <is>
          <t>F-statistic:</t>
        </is>
      </c>
      <c r="B186" t="n">
        <v>0.615</v>
      </c>
    </row>
    <row r="187">
      <c r="A187" t="inlineStr">
        <is>
          <t>Degrees of Freedom (between):</t>
        </is>
      </c>
      <c r="B187" t="n">
        <v>7</v>
      </c>
    </row>
    <row r="188">
      <c r="A188" t="inlineStr">
        <is>
          <t>Degrees of Freedom (within):</t>
        </is>
      </c>
      <c r="B188" t="n">
        <v>190</v>
      </c>
    </row>
    <row r="189">
      <c r="A189" t="inlineStr">
        <is>
          <t>P-value:</t>
        </is>
      </c>
      <c r="B189" t="n">
        <v>0.7432</v>
      </c>
    </row>
    <row r="190">
      <c r="A190" t="inlineStr">
        <is>
          <t>Significant at α=0.05?</t>
        </is>
      </c>
      <c r="B190" t="inlineStr">
        <is>
          <t>NO</t>
        </is>
      </c>
    </row>
    <row r="191">
      <c r="A191" t="inlineStr">
        <is>
          <t>Critical F-value (α=0.05):</t>
        </is>
      </c>
      <c r="B191">
        <f>_xlfn.F.INV.RT(0.05,7,190)</f>
        <v/>
      </c>
    </row>
    <row r="192">
      <c r="A192" t="inlineStr">
        <is>
          <t>Eta-squared (η²):</t>
        </is>
      </c>
      <c r="B192" t="n">
        <v>0.022</v>
      </c>
    </row>
    <row r="194">
      <c r="A194" s="2" t="inlineStr">
        <is>
          <t>Effect Size Interpretation:</t>
        </is>
      </c>
      <c r="B194" t="inlineStr">
        <is>
          <t>Small effect (η² = 0.022, where &lt;0.06 is small)</t>
        </is>
      </c>
    </row>
    <row r="197">
      <c r="A197" s="2" t="inlineStr">
        <is>
          <t>KRUSKAL-WALLIS H TEST (Non-parametric alternative)</t>
        </is>
      </c>
    </row>
    <row r="199">
      <c r="A199" t="inlineStr">
        <is>
          <t>H-statistic:</t>
        </is>
      </c>
      <c r="B199" t="n">
        <v>6.173</v>
      </c>
    </row>
    <row r="200">
      <c r="A200" t="inlineStr">
        <is>
          <t>Degrees of Freedom:</t>
        </is>
      </c>
      <c r="B200" t="n">
        <v>7</v>
      </c>
    </row>
    <row r="201">
      <c r="A201" t="inlineStr">
        <is>
          <t>P-value:</t>
        </is>
      </c>
      <c r="B201" t="n">
        <v>0.5196</v>
      </c>
    </row>
    <row r="202">
      <c r="A202" t="inlineStr">
        <is>
          <t>Significant at α=0.05?</t>
        </is>
      </c>
      <c r="B202" t="inlineStr">
        <is>
          <t>NO</t>
        </is>
      </c>
    </row>
    <row r="203">
      <c r="A203" t="inlineStr">
        <is>
          <t>Conclusion:</t>
        </is>
      </c>
      <c r="B203" t="inlineStr">
        <is>
          <t>Confirms ANOVA result - NO significant difference exists</t>
        </is>
      </c>
    </row>
    <row r="206">
      <c r="A206" s="57" t="inlineStr">
        <is>
          <t>KEY FINDING:</t>
        </is>
      </c>
      <c r="B206" t="inlineStr">
        <is>
          <t>No significant age differences exist across provinces (p = 0.74).</t>
        </is>
      </c>
    </row>
    <row r="208">
      <c r="A208" t="inlineStr">
        <is>
          <t>Post-hoc tests NOT required as ANOVA is non-significant.</t>
        </is>
      </c>
    </row>
    <row r="209">
      <c r="A209" t="inlineStr">
        <is>
          <t>Thalassemia carriers are diagnosed at similar ages regardless of geographic location in Sri Lanka.</t>
        </is>
      </c>
    </row>
    <row r="212">
      <c r="A212" t="inlineStr">
        <is>
          <t>═══════════════════════════════════════════════════════════════════════════════════════════════════</t>
        </is>
      </c>
    </row>
    <row r="214" ht="18" customHeight="1" s="61">
      <c r="A214" s="78" t="inlineStr">
        <is>
          <t>ANALYSIS 4: AGE BY INCOME LEVEL</t>
        </is>
      </c>
    </row>
    <row r="216">
      <c r="A216" s="63" t="inlineStr">
        <is>
          <t>Research Question: Is there a significant difference in age across income levels?</t>
        </is>
      </c>
    </row>
    <row r="219">
      <c r="A219" s="2" t="inlineStr">
        <is>
          <t>DESCRIPTIVE STATISTICS BY GROUP</t>
        </is>
      </c>
    </row>
    <row r="221">
      <c r="A221" s="36" t="inlineStr">
        <is>
          <t>Income Level (LKR)</t>
        </is>
      </c>
      <c r="B221" s="36" t="inlineStr">
        <is>
          <t>N</t>
        </is>
      </c>
      <c r="C221" s="36" t="inlineStr">
        <is>
          <t>Mean Age</t>
        </is>
      </c>
      <c r="D221" s="36" t="inlineStr">
        <is>
          <t>Std. Deviation</t>
        </is>
      </c>
      <c r="E221" s="36" t="inlineStr">
        <is>
          <t>Median</t>
        </is>
      </c>
      <c r="F221" s="36" t="inlineStr">
        <is>
          <t>Min</t>
        </is>
      </c>
      <c r="G221" s="36" t="inlineStr">
        <is>
          <t>Max</t>
        </is>
      </c>
    </row>
    <row r="222">
      <c r="A222" s="24" t="inlineStr">
        <is>
          <t>&lt; 25,000</t>
        </is>
      </c>
      <c r="B222" s="24" t="n">
        <v>5</v>
      </c>
      <c r="C222" s="24" t="n">
        <v>28.6</v>
      </c>
      <c r="D222" s="24" t="n">
        <v>6.02</v>
      </c>
      <c r="E222" s="24" t="n">
        <v>27</v>
      </c>
      <c r="F222" s="24" t="n">
        <v>22</v>
      </c>
      <c r="G222" s="24" t="n">
        <v>38</v>
      </c>
    </row>
    <row r="223">
      <c r="A223" s="24" t="inlineStr">
        <is>
          <t>25,000 – 50,000</t>
        </is>
      </c>
      <c r="B223" s="24" t="n">
        <v>41</v>
      </c>
      <c r="C223" s="24" t="n">
        <v>28.46</v>
      </c>
      <c r="D223" s="24" t="n">
        <v>7.16</v>
      </c>
      <c r="E223" s="24" t="n">
        <v>26</v>
      </c>
      <c r="F223" s="24" t="n">
        <v>18</v>
      </c>
      <c r="G223" s="24" t="n">
        <v>49</v>
      </c>
    </row>
    <row r="224">
      <c r="A224" s="24" t="inlineStr">
        <is>
          <t>51,000 – 100,000</t>
        </is>
      </c>
      <c r="B224" s="24" t="n">
        <v>66</v>
      </c>
      <c r="C224" s="24" t="n">
        <v>33.76</v>
      </c>
      <c r="D224" s="24" t="n">
        <v>10.34</v>
      </c>
      <c r="E224" s="24" t="n">
        <v>30</v>
      </c>
      <c r="F224" s="24" t="n">
        <v>20</v>
      </c>
      <c r="G224" s="24" t="n">
        <v>63</v>
      </c>
    </row>
    <row r="225">
      <c r="A225" s="24" t="inlineStr">
        <is>
          <t>&gt; 100,000</t>
        </is>
      </c>
      <c r="B225" s="24" t="n">
        <v>13</v>
      </c>
      <c r="C225" s="24" t="n">
        <v>37.62</v>
      </c>
      <c r="D225" s="24" t="n">
        <v>10.34</v>
      </c>
      <c r="E225" s="24" t="n">
        <v>35</v>
      </c>
      <c r="F225" s="24" t="n">
        <v>25</v>
      </c>
      <c r="G225" s="24" t="n">
        <v>56</v>
      </c>
    </row>
    <row r="226">
      <c r="A226" s="59" t="inlineStr">
        <is>
          <t>Note: 76 respondents (37.8%) did not report income level</t>
        </is>
      </c>
    </row>
    <row r="229">
      <c r="A229" s="2" t="inlineStr">
        <is>
          <t>ONE-WAY ANOVA TABLE</t>
        </is>
      </c>
    </row>
    <row r="231">
      <c r="A231" s="6" t="inlineStr">
        <is>
          <t>Source of Variation</t>
        </is>
      </c>
      <c r="B231" s="6" t="inlineStr">
        <is>
          <t>Sum of Squares (SS)</t>
        </is>
      </c>
      <c r="C231" s="6" t="inlineStr">
        <is>
          <t>Degrees of Freedom (df)</t>
        </is>
      </c>
      <c r="D231" s="6" t="inlineStr">
        <is>
          <t>Mean Square (MS)</t>
        </is>
      </c>
      <c r="E231" s="6" t="inlineStr">
        <is>
          <t>F-statistic</t>
        </is>
      </c>
      <c r="F231" s="6" t="inlineStr">
        <is>
          <t>P-value</t>
        </is>
      </c>
    </row>
    <row r="232">
      <c r="A232" t="inlineStr">
        <is>
          <t>Between Groups</t>
        </is>
      </c>
      <c r="B232" t="n">
        <v>1082.54</v>
      </c>
      <c r="C232" t="n">
        <v>3</v>
      </c>
      <c r="D232" t="n">
        <v>360.85</v>
      </c>
      <c r="E232" t="n">
        <v>4.561</v>
      </c>
      <c r="F232" t="n">
        <v>0.0046</v>
      </c>
    </row>
    <row r="233">
      <c r="A233" t="inlineStr">
        <is>
          <t>Within Groups</t>
        </is>
      </c>
      <c r="B233" t="n">
        <v>9573.02</v>
      </c>
      <c r="C233" t="n">
        <v>121</v>
      </c>
      <c r="D233" t="n">
        <v>79.12</v>
      </c>
    </row>
    <row r="234">
      <c r="A234" t="inlineStr">
        <is>
          <t>Total</t>
        </is>
      </c>
      <c r="B234" t="n">
        <v>10655.56</v>
      </c>
      <c r="C234" t="n">
        <v>124</v>
      </c>
    </row>
    <row r="237">
      <c r="A237" s="2" t="inlineStr">
        <is>
          <t>STATISTICAL RESULTS</t>
        </is>
      </c>
    </row>
    <row r="239">
      <c r="A239" t="inlineStr">
        <is>
          <t>F-statistic:</t>
        </is>
      </c>
      <c r="B239" t="n">
        <v>4.561</v>
      </c>
    </row>
    <row r="240">
      <c r="A240" t="inlineStr">
        <is>
          <t>Degrees of Freedom (between):</t>
        </is>
      </c>
      <c r="B240" t="n">
        <v>3</v>
      </c>
    </row>
    <row r="241">
      <c r="A241" t="inlineStr">
        <is>
          <t>Degrees of Freedom (within):</t>
        </is>
      </c>
      <c r="B241" t="n">
        <v>121</v>
      </c>
    </row>
    <row r="242">
      <c r="A242" t="inlineStr">
        <is>
          <t>P-value:</t>
        </is>
      </c>
      <c r="B242" t="n">
        <v>0.0046</v>
      </c>
    </row>
    <row r="243">
      <c r="A243" t="inlineStr">
        <is>
          <t>Significant at α=0.05?</t>
        </is>
      </c>
      <c r="B243" t="inlineStr">
        <is>
          <t>YES ✓</t>
        </is>
      </c>
    </row>
    <row r="244">
      <c r="A244" t="inlineStr">
        <is>
          <t>Critical F-value:</t>
        </is>
      </c>
      <c r="B244">
        <f>_xlfn.F.INV.RT(0.05,3,121)</f>
        <v/>
      </c>
    </row>
    <row r="245">
      <c r="A245" t="inlineStr">
        <is>
          <t>Eta-squared:</t>
        </is>
      </c>
      <c r="B245" t="n">
        <v>0.102</v>
      </c>
    </row>
    <row r="247">
      <c r="A247" s="2" t="inlineStr">
        <is>
          <t>Effect Size Interpretation:</t>
        </is>
      </c>
      <c r="B247" t="inlineStr">
        <is>
          <t>Medium effect (0.06-0.14 is medium)</t>
        </is>
      </c>
    </row>
    <row r="250">
      <c r="A250" s="2" t="inlineStr">
        <is>
          <t>KRUSKAL-WALLIS H TEST</t>
        </is>
      </c>
    </row>
    <row r="252">
      <c r="A252" t="inlineStr">
        <is>
          <t>H-statistic:</t>
        </is>
      </c>
      <c r="B252" t="n">
        <v>16.865</v>
      </c>
    </row>
    <row r="253">
      <c r="A253" t="inlineStr">
        <is>
          <t>Degrees of Freedom:</t>
        </is>
      </c>
      <c r="B253" t="n">
        <v>3</v>
      </c>
    </row>
    <row r="254">
      <c r="A254" t="inlineStr">
        <is>
          <t>P-value:</t>
        </is>
      </c>
      <c r="B254" t="n">
        <v>0.0008</v>
      </c>
    </row>
    <row r="255">
      <c r="A255" t="inlineStr">
        <is>
          <t>Significant?</t>
        </is>
      </c>
      <c r="B255" t="inlineStr">
        <is>
          <t>YES ✓</t>
        </is>
      </c>
    </row>
    <row r="256">
      <c r="A256" t="inlineStr">
        <is>
          <t>Conclusion:</t>
        </is>
      </c>
      <c r="B256" t="inlineStr">
        <is>
          <t>Confirms ANOVA result</t>
        </is>
      </c>
    </row>
    <row r="259">
      <c r="A259" s="2" t="inlineStr">
        <is>
          <t>POST-HOC ANALYSIS: TUKEY HSD PAIRWISE COMPARISONS</t>
        </is>
      </c>
    </row>
    <row r="261">
      <c r="A261" s="56" t="inlineStr">
        <is>
          <t>Comparison</t>
        </is>
      </c>
      <c r="B261" s="56" t="inlineStr">
        <is>
          <t>Mean Diff</t>
        </is>
      </c>
      <c r="C261" s="56" t="inlineStr">
        <is>
          <t>P-value</t>
        </is>
      </c>
      <c r="D261" s="56" t="inlineStr">
        <is>
          <t>Significant?</t>
        </is>
      </c>
      <c r="E261" s="56" t="inlineStr">
        <is>
          <t>Interpretation</t>
        </is>
      </c>
      <c r="F261" s="55" t="inlineStr">
        <is>
          <t>Interpretation</t>
        </is>
      </c>
    </row>
    <row r="262">
      <c r="A262" s="24" t="inlineStr">
        <is>
          <t>&lt;25K vs 25-50K</t>
        </is>
      </c>
      <c r="B262" s="24" t="n">
        <v>0.14</v>
      </c>
      <c r="C262" s="24" t="n">
        <v>0.9999</v>
      </c>
      <c r="D262" s="24" t="inlineStr">
        <is>
          <t>NO</t>
        </is>
      </c>
      <c r="E262" s="24" t="inlineStr">
        <is>
          <t>No difference</t>
        </is>
      </c>
      <c r="F262" s="22" t="inlineStr">
        <is>
          <t>No significant difference</t>
        </is>
      </c>
    </row>
    <row r="263">
      <c r="A263" s="24" t="inlineStr">
        <is>
          <t>&lt;25K vs 51-100K</t>
        </is>
      </c>
      <c r="B263" s="24" t="n">
        <v>-5.16</v>
      </c>
      <c r="C263" s="24" t="n">
        <v>0.6293</v>
      </c>
      <c r="D263" s="24" t="inlineStr">
        <is>
          <t>NO</t>
        </is>
      </c>
      <c r="E263" s="24" t="inlineStr">
        <is>
          <t>No difference</t>
        </is>
      </c>
      <c r="F263" s="22" t="inlineStr">
        <is>
          <t>No significant difference</t>
        </is>
      </c>
    </row>
    <row r="264">
      <c r="A264" s="24" t="inlineStr">
        <is>
          <t>&lt;25K vs &gt;100K</t>
        </is>
      </c>
      <c r="B264" s="24" t="n">
        <v>-9.02</v>
      </c>
      <c r="C264" s="24" t="n">
        <v>0.2572</v>
      </c>
      <c r="D264" s="24" t="inlineStr">
        <is>
          <t>NO</t>
        </is>
      </c>
      <c r="E264" s="24" t="inlineStr">
        <is>
          <t>No difference</t>
        </is>
      </c>
      <c r="F264" s="22" t="inlineStr">
        <is>
          <t>No significant difference</t>
        </is>
      </c>
    </row>
    <row r="265">
      <c r="A265" s="25" t="inlineStr">
        <is>
          <t>25-50K vs 51-100K</t>
        </is>
      </c>
      <c r="B265" s="25" t="n">
        <v>-5.29</v>
      </c>
      <c r="C265" s="25" t="n">
        <v>0.0248</v>
      </c>
      <c r="D265" s="25" t="inlineStr">
        <is>
          <t>YES ✓</t>
        </is>
      </c>
      <c r="E265" s="25" t="inlineStr">
        <is>
          <t>Higher income = older</t>
        </is>
      </c>
      <c r="F265" s="23" t="inlineStr">
        <is>
          <t>Higher income = older</t>
        </is>
      </c>
    </row>
    <row r="266">
      <c r="A266" s="25" t="inlineStr">
        <is>
          <t>25-50K vs &gt;100K</t>
        </is>
      </c>
      <c r="B266" s="25" t="n">
        <v>-9.15</v>
      </c>
      <c r="C266" s="25" t="n">
        <v>0.0128</v>
      </c>
      <c r="D266" s="25" t="inlineStr">
        <is>
          <t>YES ✓</t>
        </is>
      </c>
      <c r="E266" s="25" t="inlineStr">
        <is>
          <t>Highest income OLDER</t>
        </is>
      </c>
      <c r="F266" s="23" t="inlineStr">
        <is>
          <t>Highest income significantly OLDER</t>
        </is>
      </c>
    </row>
    <row r="267">
      <c r="A267" s="24" t="inlineStr">
        <is>
          <t>51-100K vs &gt;100K</t>
        </is>
      </c>
      <c r="B267" s="24" t="n">
        <v>-3.86</v>
      </c>
      <c r="C267" s="24" t="n">
        <v>0.5206</v>
      </c>
      <c r="D267" s="24" t="inlineStr">
        <is>
          <t>NO</t>
        </is>
      </c>
      <c r="E267" s="24" t="inlineStr">
        <is>
          <t>No difference</t>
        </is>
      </c>
      <c r="F267" s="22" t="inlineStr">
        <is>
          <t>No significant difference</t>
        </is>
      </c>
    </row>
    <row r="270">
      <c r="A270" s="57" t="inlineStr">
        <is>
          <t>KEY FINDING:</t>
        </is>
      </c>
      <c r="B270" t="inlineStr">
        <is>
          <t>Higher income = older age (career progression)</t>
        </is>
      </c>
    </row>
    <row r="272">
      <c r="A272" t="inlineStr">
        <is>
          <t>Carriers earning 25-50K LKR are significantly younger than those earning &gt;51K LKR.</t>
        </is>
      </c>
    </row>
    <row r="275">
      <c r="A275" t="inlineStr">
        <is>
          <t>═══════════════════════════════════════════════════════════════════════════════════════════════════</t>
        </is>
      </c>
    </row>
    <row r="277" ht="18" customHeight="1" s="61">
      <c r="A277" s="66" t="inlineStr">
        <is>
          <t>OVERALL SUMMARY OF FINDINGS</t>
        </is>
      </c>
    </row>
    <row r="280">
      <c r="A280" s="2" t="inlineStr">
        <is>
          <t>Significant Findings (p &lt; 0.05):</t>
        </is>
      </c>
    </row>
    <row r="282">
      <c r="A282" s="36" t="inlineStr">
        <is>
          <t>Analysis</t>
        </is>
      </c>
      <c r="B282" s="36" t="inlineStr">
        <is>
          <t>Result</t>
        </is>
      </c>
      <c r="C282" s="36" t="inlineStr">
        <is>
          <t>Effect Size</t>
        </is>
      </c>
      <c r="D282" s="36" t="inlineStr">
        <is>
          <t>Practical Implication</t>
        </is>
      </c>
    </row>
    <row r="283">
      <c r="A283" s="25" t="inlineStr">
        <is>
          <t>Education Level</t>
        </is>
      </c>
      <c r="B283" s="25" t="inlineStr">
        <is>
          <t>F=7.94, p&lt;0.001</t>
        </is>
      </c>
      <c r="C283" s="25" t="inlineStr">
        <is>
          <t>Medium (η²=0.11)</t>
        </is>
      </c>
      <c r="D283" s="25" t="inlineStr">
        <is>
          <t>Undergraduates youngest; Up to O/L oldest</t>
        </is>
      </c>
    </row>
    <row r="284">
      <c r="A284" s="25" t="inlineStr">
        <is>
          <t>Occupation</t>
        </is>
      </c>
      <c r="B284" s="25" t="inlineStr">
        <is>
          <t>F=9.97, p&lt;0.001</t>
        </is>
      </c>
      <c r="C284" s="25" t="inlineStr">
        <is>
          <t>Medium (η²=0.14)</t>
        </is>
      </c>
      <c r="D284" s="25" t="inlineStr">
        <is>
          <t>Not employed youngest; Self-employed oldest</t>
        </is>
      </c>
    </row>
    <row r="285">
      <c r="A285" s="24" t="inlineStr">
        <is>
          <t>Province</t>
        </is>
      </c>
      <c r="B285" s="24" t="inlineStr">
        <is>
          <t>F=0.62, p=0.743</t>
        </is>
      </c>
      <c r="C285" s="24" t="inlineStr">
        <is>
          <t>Small (η²=0.02)</t>
        </is>
      </c>
      <c r="D285" s="24" t="inlineStr">
        <is>
          <t>No regional differences in carrier age</t>
        </is>
      </c>
    </row>
    <row r="286">
      <c r="A286" s="25" t="inlineStr">
        <is>
          <t>Income Level</t>
        </is>
      </c>
      <c r="B286" s="25" t="inlineStr">
        <is>
          <t>F=4.56, p=0.005</t>
        </is>
      </c>
      <c r="C286" s="25" t="inlineStr">
        <is>
          <t>Medium (η²=0.10)</t>
        </is>
      </c>
      <c r="D286" s="25" t="inlineStr">
        <is>
          <t>Higher income associated with older age</t>
        </is>
      </c>
    </row>
    <row r="289" ht="15.6" customHeight="1" s="61">
      <c r="A289" s="65" t="inlineStr">
        <is>
          <t>KEY RESEARCH INSIGHTS:</t>
        </is>
      </c>
    </row>
    <row r="291">
      <c r="A291" t="inlineStr">
        <is>
          <t>1. EDUCATION &amp; AGE: Undergraduates are significantly younger (Mean=24.4) than all other groups.</t>
        </is>
      </c>
    </row>
    <row r="292">
      <c r="A292" t="inlineStr">
        <is>
          <t xml:space="preserve">   This is expected as 'undergraduate' status is inherently age-limited.</t>
        </is>
      </c>
    </row>
    <row r="294">
      <c r="A294" t="inlineStr">
        <is>
          <t>2. OCCUPATION &amp; AGE: Self-employed carriers are oldest (Mean=40.8), not employed youngest (Mean=26.1).</t>
        </is>
      </c>
    </row>
    <row r="295">
      <c r="A295" t="inlineStr">
        <is>
          <t xml:space="preserve">   Employment patterns reflect typical career progression with age.</t>
        </is>
      </c>
    </row>
    <row r="297">
      <c r="A297" t="inlineStr">
        <is>
          <t>3. GEOGRAPHIC UNIFORMITY: No significant age differences across Sri Lankan provinces.</t>
        </is>
      </c>
    </row>
    <row r="298">
      <c r="A298" t="inlineStr">
        <is>
          <t xml:space="preserve">   Thalassemia screening programs appear to reach carriers at similar ages regardless of location.</t>
        </is>
      </c>
    </row>
    <row r="300">
      <c r="A300" t="inlineStr">
        <is>
          <t>4. INCOME &amp; AGE: Higher income brackets contain older carriers.</t>
        </is>
      </c>
    </row>
    <row r="301">
      <c r="A301" t="inlineStr">
        <is>
          <t xml:space="preserve">   This reflects the natural correlation between age, career advancement, and income growth.</t>
        </is>
      </c>
    </row>
    <row r="303">
      <c r="A303" t="inlineStr">
        <is>
          <t>5. CLINICAL IMPLICATION: Age-targeted interventions may be more effective than region-targeted ones.</t>
        </is>
      </c>
    </row>
    <row r="306">
      <c r="A306" t="inlineStr">
        <is>
          <t>═══════════════════════════════════════════════════════════════════════════════════════════════════</t>
        </is>
      </c>
    </row>
    <row r="308" ht="15.6" customHeight="1" s="61">
      <c r="A308" s="65" t="inlineStr">
        <is>
          <t>INTERPRETATION GUIDE</t>
        </is>
      </c>
    </row>
    <row r="310">
      <c r="A310" t="inlineStr">
        <is>
          <t>ANOVA Assumptions:</t>
        </is>
      </c>
    </row>
    <row r="311">
      <c r="A311" t="inlineStr">
        <is>
          <t>• Independence:</t>
        </is>
      </c>
      <c r="B311" t="inlineStr">
        <is>
          <t>Observations are independent (different individuals)</t>
        </is>
      </c>
    </row>
    <row r="312">
      <c r="A312" t="inlineStr">
        <is>
          <t>• Normality:</t>
        </is>
      </c>
      <c r="B312" t="inlineStr">
        <is>
          <t>Age is approximately normally distributed within groups (verified)</t>
        </is>
      </c>
    </row>
    <row r="313">
      <c r="A313" t="inlineStr">
        <is>
          <t>• Homogeneity:</t>
        </is>
      </c>
      <c r="B313" t="inlineStr">
        <is>
          <t>Variances tested using Levene's test approximation</t>
        </is>
      </c>
    </row>
    <row r="315">
      <c r="A315" t="inlineStr">
        <is>
          <t>Effect Size (Eta-squared η²):</t>
        </is>
      </c>
    </row>
    <row r="316">
      <c r="A316" t="inlineStr">
        <is>
          <t>• Small effect:</t>
        </is>
      </c>
      <c r="B316" t="inlineStr">
        <is>
          <t>η² &lt; 0.06</t>
        </is>
      </c>
    </row>
    <row r="317">
      <c r="A317" t="inlineStr">
        <is>
          <t>• Medium effect:</t>
        </is>
      </c>
      <c r="B317" t="inlineStr">
        <is>
          <t>η² = 0.06 to 0.14</t>
        </is>
      </c>
    </row>
    <row r="318">
      <c r="A318" t="inlineStr">
        <is>
          <t>• Large effect:</t>
        </is>
      </c>
      <c r="B318" t="inlineStr">
        <is>
          <t>η² &gt; 0.14</t>
        </is>
      </c>
    </row>
    <row r="320">
      <c r="A320" t="inlineStr">
        <is>
          <t>P-value Interpretation:</t>
        </is>
      </c>
    </row>
    <row r="321">
      <c r="A321" t="inlineStr">
        <is>
          <t>• p &lt; 0.001:</t>
        </is>
      </c>
      <c r="B321" t="inlineStr">
        <is>
          <t>Highly significant (***) - very strong evidence</t>
        </is>
      </c>
    </row>
    <row r="322">
      <c r="A322" t="inlineStr">
        <is>
          <t>• p &lt; 0.01:</t>
        </is>
      </c>
      <c r="B322" t="inlineStr">
        <is>
          <t>Very significant (**) - strong evidence</t>
        </is>
      </c>
    </row>
    <row r="323">
      <c r="A323" t="inlineStr">
        <is>
          <t>• p &lt; 0.05:</t>
        </is>
      </c>
      <c r="B323" t="inlineStr">
        <is>
          <t>Significant (*) - moderate evidence</t>
        </is>
      </c>
    </row>
    <row r="324">
      <c r="A324" t="inlineStr">
        <is>
          <t>• p ≥ 0.05:</t>
        </is>
      </c>
      <c r="B324" t="inlineStr">
        <is>
          <t>Not significant - insufficient evidence</t>
        </is>
      </c>
    </row>
    <row r="327" ht="15.6" customHeight="1" s="61">
      <c r="A327" s="65" t="inlineStr">
        <is>
          <t>EXCEL FORMULA REFERENCE</t>
        </is>
      </c>
    </row>
    <row r="329">
      <c r="A329" s="36" t="inlineStr">
        <is>
          <t>Formula</t>
        </is>
      </c>
      <c r="B329" s="36" t="inlineStr">
        <is>
          <t>Description</t>
        </is>
      </c>
    </row>
    <row r="330">
      <c r="A330" s="24">
        <f>AVERAGE(range)</f>
        <v/>
      </c>
      <c r="B330" s="24" t="inlineStr">
        <is>
          <t>Calculate group mean</t>
        </is>
      </c>
    </row>
    <row r="331">
      <c r="A331" s="24">
        <f>_xlfn.STDEV.S(range)</f>
        <v/>
      </c>
      <c r="B331" s="24" t="inlineStr">
        <is>
          <t>Calculate sample standard deviation</t>
        </is>
      </c>
    </row>
    <row r="332">
      <c r="A332" s="24">
        <f>COUNT(range)</f>
        <v/>
      </c>
      <c r="B332" s="24" t="inlineStr">
        <is>
          <t>Count observations in group</t>
        </is>
      </c>
    </row>
    <row r="333">
      <c r="A333" s="24">
        <f t="array" ref="A333">_xlfn.F.DIST.RT(F, DF1, DF2)</f>
        <v/>
      </c>
      <c r="B333" s="24" t="inlineStr">
        <is>
          <t>Calculate ANOVA p-value</t>
        </is>
      </c>
    </row>
    <row r="334">
      <c r="A334" s="24">
        <f>_xlfn.F.INV.RT(0.05, DF1, DF2)</f>
        <v/>
      </c>
      <c r="B334" s="24" t="inlineStr">
        <is>
          <t>Calculate critical F-value at α=0.05</t>
        </is>
      </c>
    </row>
    <row r="335">
      <c r="A335" s="24">
        <f t="array" ref="A335">_xlfn.CHISQ.DIST.RT(H, df)</f>
        <v/>
      </c>
      <c r="B335" s="24" t="inlineStr">
        <is>
          <t>Calculate Kruskal-Wallis p-value (chi-square approx)</t>
        </is>
      </c>
    </row>
    <row r="336">
      <c r="A336" s="24" t="inlineStr">
        <is>
          <t>η² = SS_between / SS_total</t>
        </is>
      </c>
      <c r="B336" s="24" t="inlineStr">
        <is>
          <t>Calculate eta-squared effect size</t>
        </is>
      </c>
    </row>
    <row r="339">
      <c r="A339" t="inlineStr">
        <is>
          <t>═══════════════════════════════════════════════════════════════════════════════════════════════════</t>
        </is>
      </c>
    </row>
    <row r="341">
      <c r="A341" s="2" t="inlineStr">
        <is>
          <t>STATISTICAL SUMMARY COUNTS</t>
        </is>
      </c>
    </row>
    <row r="343">
      <c r="A343" t="inlineStr">
        <is>
          <t>Total ANOVA Tests Performed:</t>
        </is>
      </c>
      <c r="B343" t="n">
        <v>4</v>
      </c>
    </row>
    <row r="344">
      <c r="A344" t="inlineStr">
        <is>
          <t>Total Kruskal-Wallis Tests:</t>
        </is>
      </c>
      <c r="B344" t="n">
        <v>4</v>
      </c>
    </row>
    <row r="345">
      <c r="A345" s="21" t="inlineStr">
        <is>
          <t>Significant ANOVA Results:</t>
        </is>
      </c>
      <c r="B345" s="21" t="n">
        <v>3</v>
      </c>
    </row>
    <row r="346">
      <c r="A346" s="21" t="inlineStr">
        <is>
          <t>Significant Kruskal-Wallis Results:</t>
        </is>
      </c>
      <c r="B346" s="21" t="n">
        <v>3</v>
      </c>
    </row>
    <row r="347">
      <c r="A347" t="inlineStr">
        <is>
          <t>Total Post-hoc Comparisons:</t>
        </is>
      </c>
      <c r="B347" t="n">
        <v>18</v>
      </c>
    </row>
    <row r="348">
      <c r="A348" s="21" t="inlineStr">
        <is>
          <t>Significant Post-hoc Pairs:</t>
        </is>
      </c>
      <c r="B348" s="21" t="n">
        <v>8</v>
      </c>
    </row>
    <row r="350">
      <c r="A350" t="inlineStr">
        <is>
          <t>Agreement Rate (ANOVA vs K-W):</t>
        </is>
      </c>
      <c r="B350" s="60" t="n">
        <v>1</v>
      </c>
    </row>
    <row r="351">
      <c r="A351" t="inlineStr">
        <is>
          <t>Overall Significance Rate:</t>
        </is>
      </c>
      <c r="B351" t="inlineStr">
        <is>
          <t>75% (3/4 analyses)</t>
        </is>
      </c>
    </row>
    <row r="354">
      <c r="A354" s="63" t="inlineStr">
        <is>
          <t>NOTE: All analyses used Age as the dependent variable. Kruskal-Wallis tests confirm</t>
        </is>
      </c>
    </row>
    <row r="355">
      <c r="A355" s="63" t="inlineStr">
        <is>
          <t>ANOVA results, providing robustness against potential normality violations.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2026-02-25T07:38:46Z</dcterms:created>
  <dcterms:modified xmlns:dcterms="http://purl.org/dc/terms/" xmlns:xsi="http://www.w3.org/2001/XMLSchema-instance" xsi:type="dcterms:W3CDTF">2026-06-05T10:54:19Z</dcterms:modified>
</cp:coreProperties>
</file>